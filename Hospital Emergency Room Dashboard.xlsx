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Data Analyst\"/>
    </mc:Choice>
  </mc:AlternateContent>
  <xr:revisionPtr revIDLastSave="0" documentId="8_{10153143-C8A6-4496-92C2-914148E61738}" xr6:coauthVersionLast="47" xr6:coauthVersionMax="47" xr10:uidLastSave="{00000000-0000-0000-0000-000000000000}"/>
  <bookViews>
    <workbookView xWindow="-108" yWindow="-108" windowWidth="23256" windowHeight="12456" activeTab="1" xr2:uid="{0DC9A9EE-161F-4425-B780-B0486ECF5C5C}"/>
  </bookViews>
  <sheets>
    <sheet name="Pivot Report" sheetId="1" r:id="rId1"/>
    <sheet name="Dashboard" sheetId="2" r:id="rId2"/>
    <sheet name="Average Satisfication Score" sheetId="5" r:id="rId3"/>
    <sheet name="Daily ER No of Patients" sheetId="3" r:id="rId4"/>
    <sheet name="Average wait time daily trend" sheetId="4" r:id="rId5"/>
  </sheets>
  <definedNames>
    <definedName name="Slicer_Date__Month">#N/A</definedName>
    <definedName name="Slicer_Date__Year">#N/A</definedName>
  </definedNames>
  <calcPr calcId="191029"/>
  <pivotCaches>
    <pivotCache cacheId="1326" r:id="rId6"/>
    <pivotCache cacheId="1329" r:id="rId7"/>
    <pivotCache cacheId="1332" r:id="rId8"/>
    <pivotCache cacheId="1335" r:id="rId9"/>
    <pivotCache cacheId="1338" r:id="rId10"/>
    <pivotCache cacheId="1341" r:id="rId11"/>
    <pivotCache cacheId="1344" r:id="rId12"/>
    <pivotCache cacheId="1347" r:id="rId13"/>
    <pivotCache cacheId="1350" r:id="rId14"/>
    <pivotCache cacheId="1353" r:id="rId15"/>
    <pivotCache cacheId="1356" r:id="rId16"/>
    <pivotCache cacheId="1359" r:id="rId17"/>
  </pivotCaches>
  <fileRecoveryPr repairLoad="1"/>
  <extLst>
    <ext xmlns:x14="http://schemas.microsoft.com/office/spreadsheetml/2009/9/main" uri="{876F7934-8845-4945-9796-88D515C7AA90}">
      <x14:pivotCaches>
        <pivotCache cacheId="13"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ada2708-1dc5-4a6a-9149-629cc379fa79" name="Hospital Emergency Room Data" connection="Query - Hospital Emergency Room Data"/>
          <x15:modelTable id="Calender_Table_64f8892e-e9de-43d0-b3b2-86bbca616705"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3" i="1" l="1"/>
  <c r="B33" i="1"/>
  <c r="A33" i="1"/>
  <c r="C32" i="1"/>
  <c r="B32" i="1"/>
  <c r="A3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A5807C-288E-433F-A13A-D5993D2961BF}" name="Query - Calender_Table" description="Connection to the 'Calender_Table' query in the workbook." type="100" refreshedVersion="8" minRefreshableVersion="5">
    <extLst>
      <ext xmlns:x15="http://schemas.microsoft.com/office/spreadsheetml/2010/11/main" uri="{DE250136-89BD-433C-8126-D09CA5730AF9}">
        <x15:connection id="91c4c666-6b01-43a2-b935-77f9729bee30"/>
      </ext>
    </extLst>
  </connection>
  <connection id="2" xr16:uid="{8A84095E-7F0E-4237-BA7E-000BDDAA990A}"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83357f29-0c3a-4f90-9467-3ad48ad3bc36"/>
      </ext>
    </extLst>
  </connection>
  <connection id="3" xr16:uid="{6497636E-9839-4EB8-A885-775C0C698E6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<sst xmlns="http://schemas.openxmlformats.org/spreadsheetml/2006/main" count="141" uniqueCount="69">
  <si>
    <t>Row Labels</t>
  </si>
  <si>
    <t>Grand Total</t>
  </si>
  <si>
    <t>Distinct Count of Patient Id</t>
  </si>
  <si>
    <t>Sum of Patient Waittime</t>
  </si>
  <si>
    <t>Average of Patient Waittime</t>
  </si>
  <si>
    <t>Sum of Patient Satisfaction Score</t>
  </si>
  <si>
    <t>Average of Patient Satisfaction Score</t>
  </si>
  <si>
    <t>Count of Patient Admission Flag</t>
  </si>
  <si>
    <t>Admitted</t>
  </si>
  <si>
    <t>Not Admitted</t>
  </si>
  <si>
    <t>Count of Patient Admission Flag2</t>
  </si>
  <si>
    <t>Admission Status</t>
  </si>
  <si>
    <t>No. of Patient</t>
  </si>
  <si>
    <t>%Status</t>
  </si>
  <si>
    <t>0-09</t>
  </si>
  <si>
    <t>10-19</t>
  </si>
  <si>
    <t>20-29</t>
  </si>
  <si>
    <t>30-39</t>
  </si>
  <si>
    <t>40-49</t>
  </si>
  <si>
    <t>50-59</t>
  </si>
  <si>
    <t>60-69</t>
  </si>
  <si>
    <t>70-79</t>
  </si>
  <si>
    <t>Count of Age Group</t>
  </si>
  <si>
    <t>Delay</t>
  </si>
  <si>
    <t>Ontime</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</si>
  <si>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</si>
  <si>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</si>
  <si>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</si>
  <si>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</si>
  <si>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</si>
  <si>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</si>
  <si>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</si>
  <si>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</si>
  <si>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</si>
  <si>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</si>
  <si>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</si>
  <si>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</si>
  <si>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</si>
  <si>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2023</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</si>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</sst>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0" tint="-0.499984740745262"/>
        <bgColor indexed="64"/>
      </patternFill>
    </fill>
    <fill>
      <patternFill patternType="solid">
        <fgColor theme="0" tint="-0.249977111117893"/>
        <bgColor indexed="64"/>
      </patternFill>
    </fill>
    <fill>
      <patternFill patternType="solid">
        <fgColor theme="4"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pivotButton="1"/>
    <xf numFmtId="0" fontId="0" fillId="0" borderId="0" xfId="0" applyAlignment="1">
      <alignment horizontal="left"/>
    </xf>
    <xf numFmtId="43" fontId="0" fillId="0" borderId="0" xfId="0" applyNumberFormat="1"/>
    <xf numFmtId="0" fontId="0" fillId="2" borderId="0" xfId="0" applyFill="1"/>
    <xf numFmtId="43" fontId="0" fillId="0" borderId="0" xfId="0" pivotButton="1" applyNumberFormat="1"/>
    <xf numFmtId="43" fontId="0" fillId="0" borderId="0" xfId="0" applyNumberFormat="1" applyAlignment="1">
      <alignment horizontal="left"/>
    </xf>
    <xf numFmtId="164" fontId="0" fillId="0" borderId="0" xfId="0" applyNumberFormat="1"/>
    <xf numFmtId="10" fontId="0" fillId="0" borderId="0" xfId="0" applyNumberFormat="1"/>
    <xf numFmtId="0" fontId="0" fillId="3" borderId="0" xfId="0" applyFill="1"/>
    <xf numFmtId="43" fontId="0" fillId="3" borderId="0" xfId="0" applyNumberFormat="1" applyFill="1"/>
    <xf numFmtId="0" fontId="0" fillId="4" borderId="0" xfId="0" applyFill="1"/>
    <xf numFmtId="43" fontId="0" fillId="3" borderId="0" xfId="0" applyNumberFormat="1" applyFill="1" applyAlignment="1">
      <alignment horizontal="center"/>
    </xf>
    <xf numFmtId="9" fontId="0" fillId="3" borderId="0" xfId="1" applyFont="1" applyFill="1" applyAlignment="1">
      <alignment horizontal="center"/>
    </xf>
    <xf numFmtId="0" fontId="0" fillId="4" borderId="0" xfId="0" applyFill="1" applyAlignment="1">
      <alignment horizontal="center"/>
    </xf>
    <xf numFmtId="1" fontId="0" fillId="3" borderId="0" xfId="0" applyNumberFormat="1" applyFill="1" applyAlignment="1">
      <alignment horizontal="center" vertical="top"/>
    </xf>
    <xf numFmtId="0" fontId="0" fillId="0" borderId="0" xfId="0" applyNumberFormat="1"/>
  </cellXfs>
  <cellStyles count="2">
    <cellStyle name="Normal" xfId="0" builtinId="0"/>
    <cellStyle name="Percent" xfId="1" builtinId="5"/>
  </cellStyles>
  <dxfs count="1028">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4" formatCode="0.00%"/>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font>
        <b/>
        <color theme="1"/>
      </font>
      <border>
        <bottom style="thin">
          <color theme="5"/>
        </bottom>
        <vertical/>
        <horizontal/>
      </border>
    </dxf>
    <dxf>
      <font>
        <u val="none"/>
        <sz val="9"/>
        <color theme="1"/>
      </font>
      <fill>
        <patternFill patternType="solid">
          <bgColor theme="0" tint="-4.9989318521683403E-2"/>
        </patternFill>
      </fill>
      <border diagonalUp="0" diagonalDown="0">
        <left/>
        <right/>
        <top/>
        <bottom/>
        <vertical/>
        <horizontal/>
      </border>
    </dxf>
  </dxfs>
  <tableStyles count="1" defaultTableStyle="TableStyleMedium2" defaultPivotStyle="PivotStyleLight16">
    <tableStyle name="my slicer desgin" pivot="0" table="0" count="10" xr9:uid="{28DF842E-5103-48D9-A41C-7ED09C731CE7}">
      <tableStyleElement type="wholeTable" dxfId="1027"/>
      <tableStyleElement type="headerRow" dxfId="102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000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5117038483843"/>
              <bgColor theme="9" tint="-0.2499465926084170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9" tint="-0.2499465926084170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desgi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34" Type="http://schemas.openxmlformats.org/officeDocument/2006/relationships/customXml" Target="../customXml/item8.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8" Type="http://schemas.openxmlformats.org/officeDocument/2006/relationships/pivotCacheDefinition" Target="pivotCache/pivotCacheDefinition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5.9829059829059832E-2"/>
          <c:y val="0.14880952380952381"/>
          <c:w val="0.93162393162393164"/>
          <c:h val="0.79166666666666663"/>
        </c:manualLayout>
      </c:layout>
      <c:barChart>
        <c:barDir val="bar"/>
        <c:grouping val="clustered"/>
        <c:varyColors val="0"/>
        <c:ser>
          <c:idx val="0"/>
          <c:order val="0"/>
          <c:tx>
            <c:strRef>
              <c:f>'Pivot Report'!$B$24</c:f>
              <c:strCache>
                <c:ptCount val="1"/>
                <c:pt idx="0">
                  <c:v>Count of Patient Admission Flag</c:v>
                </c:pt>
              </c:strCache>
            </c:strRef>
          </c:tx>
          <c:spPr>
            <a:solidFill>
              <a:schemeClr val="accent1"/>
            </a:solidFill>
            <a:ln>
              <a:noFill/>
            </a:ln>
            <a:effectLst/>
          </c:spPr>
          <c:invertIfNegative val="0"/>
          <c:cat>
            <c:strRef>
              <c:f>'Pivot Report'!$A$25:$A$27</c:f>
              <c:strCache>
                <c:ptCount val="2"/>
                <c:pt idx="0">
                  <c:v>Admitted</c:v>
                </c:pt>
                <c:pt idx="1">
                  <c:v>Not Admitted</c:v>
                </c:pt>
              </c:strCache>
            </c:strRef>
          </c:cat>
          <c:val>
            <c:numRef>
              <c:f>'Pivot Report'!$B$25:$B$27</c:f>
              <c:numCache>
                <c:formatCode>_ * #,##0_ ;_ * \-#,##0_ ;_ * "-"??_ ;_ @_ </c:formatCode>
                <c:ptCount val="2"/>
                <c:pt idx="0">
                  <c:v>237</c:v>
                </c:pt>
                <c:pt idx="1">
                  <c:v>242</c:v>
                </c:pt>
              </c:numCache>
            </c:numRef>
          </c:val>
          <c:extLst>
            <c:ext xmlns:c16="http://schemas.microsoft.com/office/drawing/2014/chart" uri="{C3380CC4-5D6E-409C-BE32-E72D297353CC}">
              <c16:uniqueId val="{00000009-EAF7-4FD4-8B81-F9232BAE611E}"/>
            </c:ext>
          </c:extLst>
        </c:ser>
        <c:ser>
          <c:idx val="1"/>
          <c:order val="1"/>
          <c:tx>
            <c:strRef>
              <c:f>'Pivot Report'!$C$24</c:f>
              <c:strCache>
                <c:ptCount val="1"/>
                <c:pt idx="0">
                  <c:v>Count of Patient Admission Flag2</c:v>
                </c:pt>
              </c:strCache>
            </c:strRef>
          </c:tx>
          <c:spPr>
            <a:solidFill>
              <a:schemeClr val="accent2"/>
            </a:solidFill>
            <a:ln>
              <a:noFill/>
            </a:ln>
            <a:effectLst/>
          </c:spPr>
          <c:invertIfNegative val="0"/>
          <c:cat>
            <c:strRef>
              <c:f>'Pivot Report'!$A$25:$A$27</c:f>
              <c:strCache>
                <c:ptCount val="2"/>
                <c:pt idx="0">
                  <c:v>Admitted</c:v>
                </c:pt>
                <c:pt idx="1">
                  <c:v>Not Admitted</c:v>
                </c:pt>
              </c:strCache>
            </c:strRef>
          </c:cat>
          <c:val>
            <c:numRef>
              <c:f>'Pivot Report'!$C$25:$C$27</c:f>
              <c:numCache>
                <c:formatCode>0.00%</c:formatCode>
                <c:ptCount val="2"/>
                <c:pt idx="0">
                  <c:v>0.49478079331941544</c:v>
                </c:pt>
                <c:pt idx="1">
                  <c:v>0.50521920668058451</c:v>
                </c:pt>
              </c:numCache>
            </c:numRef>
          </c:val>
          <c:extLst>
            <c:ext xmlns:c16="http://schemas.microsoft.com/office/drawing/2014/chart" uri="{C3380CC4-5D6E-409C-BE32-E72D297353CC}">
              <c16:uniqueId val="{0000000A-EAF7-4FD4-8B81-F9232BAE611E}"/>
            </c:ext>
          </c:extLst>
        </c:ser>
        <c:dLbls>
          <c:showLegendKey val="0"/>
          <c:showVal val="0"/>
          <c:showCatName val="0"/>
          <c:showSerName val="0"/>
          <c:showPercent val="0"/>
          <c:showBubbleSize val="0"/>
        </c:dLbls>
        <c:gapWidth val="36"/>
        <c:axId val="1117759312"/>
        <c:axId val="1117757872"/>
      </c:barChart>
      <c:catAx>
        <c:axId val="1117759312"/>
        <c:scaling>
          <c:orientation val="minMax"/>
        </c:scaling>
        <c:delete val="1"/>
        <c:axPos val="l"/>
        <c:numFmt formatCode="General" sourceLinked="1"/>
        <c:majorTickMark val="none"/>
        <c:minorTickMark val="none"/>
        <c:tickLblPos val="nextTo"/>
        <c:crossAx val="1117757872"/>
        <c:crosses val="autoZero"/>
        <c:auto val="1"/>
        <c:lblAlgn val="ctr"/>
        <c:lblOffset val="100"/>
        <c:noMultiLvlLbl val="0"/>
      </c:catAx>
      <c:valAx>
        <c:axId val="1117757872"/>
        <c:scaling>
          <c:orientation val="minMax"/>
        </c:scaling>
        <c:delete val="1"/>
        <c:axPos val="b"/>
        <c:numFmt formatCode="_ * #,##0_ ;_ * \-#,##0_ ;_ * &quot;-&quot;??_ ;_ @_ " sourceLinked="1"/>
        <c:majorTickMark val="none"/>
        <c:minorTickMark val="none"/>
        <c:tickLblPos val="nextTo"/>
        <c:crossAx val="111775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765150624828603E-2"/>
          <c:y val="0.1388888888888889"/>
          <c:w val="0.75584244133662393"/>
          <c:h val="0.7978698843200156"/>
        </c:manualLayout>
      </c:layout>
      <c:areaChart>
        <c:grouping val="standard"/>
        <c:varyColors val="0"/>
        <c:ser>
          <c:idx val="0"/>
          <c:order val="0"/>
          <c:tx>
            <c:strRef>
              <c:f>'Pivot Report'!$F$4</c:f>
              <c:strCache>
                <c:ptCount val="1"/>
                <c:pt idx="0">
                  <c:v>Total</c:v>
                </c:pt>
              </c:strCache>
            </c:strRef>
          </c:tx>
          <c:spPr>
            <a:solidFill>
              <a:schemeClr val="accent1"/>
            </a:solidFill>
            <a:ln w="25400">
              <a:noFill/>
            </a:ln>
            <a:effectLst/>
          </c:spPr>
          <c:cat>
            <c:strRef>
              <c:f>'Pivot Report'!$E$5:$E$35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Report'!$F$5:$F$35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4-2DD2-495D-8826-5BCC11A4AC5F}"/>
            </c:ext>
          </c:extLst>
        </c:ser>
        <c:dLbls>
          <c:showLegendKey val="0"/>
          <c:showVal val="0"/>
          <c:showCatName val="0"/>
          <c:showSerName val="0"/>
          <c:showPercent val="0"/>
          <c:showBubbleSize val="0"/>
        </c:dLbls>
        <c:axId val="1419613904"/>
        <c:axId val="1419616784"/>
      </c:areaChart>
      <c:catAx>
        <c:axId val="1419613904"/>
        <c:scaling>
          <c:orientation val="minMax"/>
        </c:scaling>
        <c:delete val="1"/>
        <c:axPos val="b"/>
        <c:numFmt formatCode="General" sourceLinked="1"/>
        <c:majorTickMark val="out"/>
        <c:minorTickMark val="none"/>
        <c:tickLblPos val="nextTo"/>
        <c:crossAx val="1419616784"/>
        <c:crosses val="autoZero"/>
        <c:auto val="1"/>
        <c:lblAlgn val="ctr"/>
        <c:lblOffset val="100"/>
        <c:noMultiLvlLbl val="0"/>
      </c:catAx>
      <c:valAx>
        <c:axId val="1419616784"/>
        <c:scaling>
          <c:orientation val="minMax"/>
        </c:scaling>
        <c:delete val="1"/>
        <c:axPos val="l"/>
        <c:numFmt formatCode="General" sourceLinked="1"/>
        <c:majorTickMark val="none"/>
        <c:minorTickMark val="none"/>
        <c:tickLblPos val="nextTo"/>
        <c:crossAx val="14196139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1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2539435045866792"/>
          <c:y val="0.17858226706036745"/>
          <c:w val="0.76592517519468484"/>
          <c:h val="0.5474276164698163"/>
        </c:manualLayout>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Report'!$J$5:$J$35</c:f>
              <c:numCache>
                <c:formatCode>General</c:formatCode>
                <c:ptCount val="30"/>
                <c:pt idx="0">
                  <c:v>769</c:v>
                </c:pt>
                <c:pt idx="1">
                  <c:v>383</c:v>
                </c:pt>
                <c:pt idx="2">
                  <c:v>475</c:v>
                </c:pt>
                <c:pt idx="3">
                  <c:v>290</c:v>
                </c:pt>
                <c:pt idx="4">
                  <c:v>679</c:v>
                </c:pt>
                <c:pt idx="5">
                  <c:v>422</c:v>
                </c:pt>
                <c:pt idx="6">
                  <c:v>372</c:v>
                </c:pt>
                <c:pt idx="7">
                  <c:v>697</c:v>
                </c:pt>
                <c:pt idx="8">
                  <c:v>437</c:v>
                </c:pt>
                <c:pt idx="9">
                  <c:v>438</c:v>
                </c:pt>
                <c:pt idx="10">
                  <c:v>665</c:v>
                </c:pt>
                <c:pt idx="11">
                  <c:v>1108</c:v>
                </c:pt>
                <c:pt idx="12">
                  <c:v>389</c:v>
                </c:pt>
                <c:pt idx="13">
                  <c:v>665</c:v>
                </c:pt>
                <c:pt idx="14">
                  <c:v>483</c:v>
                </c:pt>
                <c:pt idx="15">
                  <c:v>510</c:v>
                </c:pt>
                <c:pt idx="16">
                  <c:v>560</c:v>
                </c:pt>
                <c:pt idx="17">
                  <c:v>837</c:v>
                </c:pt>
                <c:pt idx="18">
                  <c:v>599</c:v>
                </c:pt>
                <c:pt idx="19">
                  <c:v>527</c:v>
                </c:pt>
                <c:pt idx="20">
                  <c:v>499</c:v>
                </c:pt>
                <c:pt idx="21">
                  <c:v>620</c:v>
                </c:pt>
                <c:pt idx="22">
                  <c:v>521</c:v>
                </c:pt>
                <c:pt idx="23">
                  <c:v>509</c:v>
                </c:pt>
                <c:pt idx="24">
                  <c:v>731</c:v>
                </c:pt>
                <c:pt idx="25">
                  <c:v>478</c:v>
                </c:pt>
                <c:pt idx="26">
                  <c:v>536</c:v>
                </c:pt>
                <c:pt idx="27">
                  <c:v>521</c:v>
                </c:pt>
                <c:pt idx="28">
                  <c:v>540</c:v>
                </c:pt>
                <c:pt idx="29">
                  <c:v>458</c:v>
                </c:pt>
              </c:numCache>
            </c:numRef>
          </c:val>
          <c:extLst>
            <c:ext xmlns:c16="http://schemas.microsoft.com/office/drawing/2014/chart" uri="{C3380CC4-5D6E-409C-BE32-E72D297353CC}">
              <c16:uniqueId val="{00000004-F424-447A-9A71-451BC2A063DB}"/>
            </c:ext>
          </c:extLst>
        </c:ser>
        <c:dLbls>
          <c:showLegendKey val="0"/>
          <c:showVal val="0"/>
          <c:showCatName val="0"/>
          <c:showSerName val="0"/>
          <c:showPercent val="0"/>
          <c:showBubbleSize val="0"/>
        </c:dLbls>
        <c:axId val="315938015"/>
        <c:axId val="315939455"/>
      </c:areaChart>
      <c:catAx>
        <c:axId val="315938015"/>
        <c:scaling>
          <c:orientation val="minMax"/>
        </c:scaling>
        <c:delete val="1"/>
        <c:axPos val="b"/>
        <c:numFmt formatCode="General" sourceLinked="1"/>
        <c:majorTickMark val="out"/>
        <c:minorTickMark val="none"/>
        <c:tickLblPos val="nextTo"/>
        <c:crossAx val="315939455"/>
        <c:crosses val="autoZero"/>
        <c:auto val="1"/>
        <c:lblAlgn val="ctr"/>
        <c:lblOffset val="100"/>
        <c:noMultiLvlLbl val="0"/>
      </c:catAx>
      <c:valAx>
        <c:axId val="315939455"/>
        <c:scaling>
          <c:orientation val="minMax"/>
        </c:scaling>
        <c:delete val="1"/>
        <c:axPos val="l"/>
        <c:numFmt formatCode="General" sourceLinked="1"/>
        <c:majorTickMark val="none"/>
        <c:minorTickMark val="none"/>
        <c:tickLblPos val="nextTo"/>
        <c:crossAx val="315938015"/>
        <c:crosses val="autoZero"/>
        <c:crossBetween val="midCat"/>
      </c:valAx>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3875073451639441"/>
          <c:w val="1"/>
          <c:h val="0.77870662000583257"/>
        </c:manualLayout>
      </c:layout>
      <c:areaChart>
        <c:grouping val="standard"/>
        <c:varyColors val="0"/>
        <c:ser>
          <c:idx val="0"/>
          <c:order val="0"/>
          <c:tx>
            <c:strRef>
              <c:f>'Pivot Report'!$M$4</c:f>
              <c:strCache>
                <c:ptCount val="1"/>
                <c:pt idx="0">
                  <c:v>Total</c:v>
                </c:pt>
              </c:strCache>
            </c:strRef>
          </c:tx>
          <c:spPr>
            <a:solidFill>
              <a:schemeClr val="accent1"/>
            </a:solidFill>
            <a:ln w="25400">
              <a:noFill/>
            </a:ln>
            <a:effectLst/>
          </c:spPr>
          <c:cat>
            <c:strRef>
              <c:f>'Pivot Report'!$L$5:$L$35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Report'!$M$5:$M$35</c:f>
              <c:numCache>
                <c:formatCode>General</c:formatCode>
                <c:ptCount val="30"/>
                <c:pt idx="0">
                  <c:v>19</c:v>
                </c:pt>
                <c:pt idx="1">
                  <c:v>31</c:v>
                </c:pt>
                <c:pt idx="2">
                  <c:v>23</c:v>
                </c:pt>
                <c:pt idx="3">
                  <c:v>6</c:v>
                </c:pt>
                <c:pt idx="4">
                  <c:v>39</c:v>
                </c:pt>
                <c:pt idx="5">
                  <c:v>8</c:v>
                </c:pt>
                <c:pt idx="6">
                  <c:v>8</c:v>
                </c:pt>
                <c:pt idx="7">
                  <c:v>24</c:v>
                </c:pt>
                <c:pt idx="8">
                  <c:v>21</c:v>
                </c:pt>
                <c:pt idx="9">
                  <c:v>42</c:v>
                </c:pt>
                <c:pt idx="10">
                  <c:v>26</c:v>
                </c:pt>
                <c:pt idx="11">
                  <c:v>23</c:v>
                </c:pt>
                <c:pt idx="12">
                  <c:v>28</c:v>
                </c:pt>
                <c:pt idx="13">
                  <c:v>39</c:v>
                </c:pt>
                <c:pt idx="14">
                  <c:v>17</c:v>
                </c:pt>
                <c:pt idx="15">
                  <c:v>34</c:v>
                </c:pt>
                <c:pt idx="16">
                  <c:v>29</c:v>
                </c:pt>
                <c:pt idx="17">
                  <c:v>28</c:v>
                </c:pt>
                <c:pt idx="18">
                  <c:v>29</c:v>
                </c:pt>
                <c:pt idx="19">
                  <c:v>14</c:v>
                </c:pt>
                <c:pt idx="20">
                  <c:v>18</c:v>
                </c:pt>
                <c:pt idx="21">
                  <c:v>20</c:v>
                </c:pt>
                <c:pt idx="22">
                  <c:v>15</c:v>
                </c:pt>
                <c:pt idx="23">
                  <c:v>37</c:v>
                </c:pt>
                <c:pt idx="24">
                  <c:v>23</c:v>
                </c:pt>
                <c:pt idx="25">
                  <c:v>25</c:v>
                </c:pt>
                <c:pt idx="26">
                  <c:v>49</c:v>
                </c:pt>
                <c:pt idx="27">
                  <c:v>23</c:v>
                </c:pt>
                <c:pt idx="28">
                  <c:v>43</c:v>
                </c:pt>
                <c:pt idx="29">
                  <c:v>28</c:v>
                </c:pt>
              </c:numCache>
            </c:numRef>
          </c:val>
          <c:extLst>
            <c:ext xmlns:c16="http://schemas.microsoft.com/office/drawing/2014/chart" uri="{C3380CC4-5D6E-409C-BE32-E72D297353CC}">
              <c16:uniqueId val="{00000004-0C3C-48E6-BE4C-5DC8F4E6A447}"/>
            </c:ext>
          </c:extLst>
        </c:ser>
        <c:dLbls>
          <c:showLegendKey val="0"/>
          <c:showVal val="0"/>
          <c:showCatName val="0"/>
          <c:showSerName val="0"/>
          <c:showPercent val="0"/>
          <c:showBubbleSize val="0"/>
        </c:dLbls>
        <c:axId val="318779535"/>
        <c:axId val="2072069968"/>
      </c:areaChart>
      <c:catAx>
        <c:axId val="318779535"/>
        <c:scaling>
          <c:orientation val="minMax"/>
        </c:scaling>
        <c:delete val="1"/>
        <c:axPos val="b"/>
        <c:numFmt formatCode="General" sourceLinked="1"/>
        <c:majorTickMark val="out"/>
        <c:minorTickMark val="none"/>
        <c:tickLblPos val="nextTo"/>
        <c:crossAx val="2072069968"/>
        <c:crosses val="autoZero"/>
        <c:auto val="1"/>
        <c:lblAlgn val="ctr"/>
        <c:lblOffset val="100"/>
        <c:noMultiLvlLbl val="0"/>
      </c:catAx>
      <c:valAx>
        <c:axId val="2072069968"/>
        <c:scaling>
          <c:orientation val="minMax"/>
        </c:scaling>
        <c:delete val="1"/>
        <c:axPos val="l"/>
        <c:numFmt formatCode="General" sourceLinked="1"/>
        <c:majorTickMark val="none"/>
        <c:minorTickMark val="none"/>
        <c:tickLblPos val="nextTo"/>
        <c:crossAx val="318779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Report!PivotTable8</c:name>
    <c:fmtId val="6"/>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71788517141677E-2"/>
          <c:y val="7.3924731182795703E-2"/>
          <c:w val="0.95456422965716647"/>
          <c:h val="0.68280734061468118"/>
        </c:manualLayout>
      </c:layout>
      <c:barChart>
        <c:barDir val="col"/>
        <c:grouping val="clustered"/>
        <c:varyColors val="0"/>
        <c:ser>
          <c:idx val="0"/>
          <c:order val="0"/>
          <c:tx>
            <c:strRef>
              <c:f>'Pivot Report'!$B$41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Report'!$A$42:$A$49</c:f>
              <c:strCache>
                <c:ptCount val="8"/>
                <c:pt idx="0">
                  <c:v>0-09</c:v>
                </c:pt>
                <c:pt idx="1">
                  <c:v>10-19</c:v>
                </c:pt>
                <c:pt idx="2">
                  <c:v>20-29</c:v>
                </c:pt>
                <c:pt idx="3">
                  <c:v>30-39</c:v>
                </c:pt>
                <c:pt idx="4">
                  <c:v>40-49</c:v>
                </c:pt>
                <c:pt idx="5">
                  <c:v>50-59</c:v>
                </c:pt>
                <c:pt idx="6">
                  <c:v>60-69</c:v>
                </c:pt>
                <c:pt idx="7">
                  <c:v>70-79</c:v>
                </c:pt>
              </c:strCache>
            </c:strRef>
          </c:cat>
          <c:val>
            <c:numRef>
              <c:f>'Pivot Report'!$B$42:$B$49</c:f>
              <c:numCache>
                <c:formatCode>_ * #,##0_ ;_ * \-#,##0_ ;_ * "-"??_ ;_ @_ </c:formatCode>
                <c:ptCount val="8"/>
                <c:pt idx="0">
                  <c:v>70</c:v>
                </c:pt>
                <c:pt idx="1">
                  <c:v>67</c:v>
                </c:pt>
                <c:pt idx="2">
                  <c:v>64</c:v>
                </c:pt>
                <c:pt idx="3">
                  <c:v>60</c:v>
                </c:pt>
                <c:pt idx="4">
                  <c:v>42</c:v>
                </c:pt>
                <c:pt idx="5">
                  <c:v>53</c:v>
                </c:pt>
                <c:pt idx="6">
                  <c:v>71</c:v>
                </c:pt>
                <c:pt idx="7">
                  <c:v>52</c:v>
                </c:pt>
              </c:numCache>
            </c:numRef>
          </c:val>
          <c:extLst>
            <c:ext xmlns:c16="http://schemas.microsoft.com/office/drawing/2014/chart" uri="{C3380CC4-5D6E-409C-BE32-E72D297353CC}">
              <c16:uniqueId val="{00000004-5BC2-437A-869F-9AA01BC1279C}"/>
            </c:ext>
          </c:extLst>
        </c:ser>
        <c:dLbls>
          <c:showLegendKey val="0"/>
          <c:showVal val="0"/>
          <c:showCatName val="0"/>
          <c:showSerName val="0"/>
          <c:showPercent val="0"/>
          <c:showBubbleSize val="0"/>
        </c:dLbls>
        <c:gapWidth val="219"/>
        <c:overlap val="-27"/>
        <c:axId val="1117788112"/>
        <c:axId val="1117788592"/>
      </c:barChart>
      <c:catAx>
        <c:axId val="111778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788592"/>
        <c:crosses val="autoZero"/>
        <c:auto val="1"/>
        <c:lblAlgn val="ctr"/>
        <c:lblOffset val="100"/>
        <c:noMultiLvlLbl val="0"/>
      </c:catAx>
      <c:valAx>
        <c:axId val="1117788592"/>
        <c:scaling>
          <c:orientation val="minMax"/>
        </c:scaling>
        <c:delete val="1"/>
        <c:axPos val="l"/>
        <c:numFmt formatCode="_ * #,##0_ ;_ * \-#,##0_ ;_ * &quot;-&quot;??_ ;_ @_ " sourceLinked="1"/>
        <c:majorTickMark val="none"/>
        <c:minorTickMark val="none"/>
        <c:tickLblPos val="nextTo"/>
        <c:crossAx val="111778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Report'!$B$54</c:f>
              <c:strCache>
                <c:ptCount val="1"/>
                <c:pt idx="0">
                  <c:v>Total</c:v>
                </c:pt>
              </c:strCache>
            </c:strRef>
          </c:tx>
          <c:dPt>
            <c:idx val="0"/>
            <c:bubble3D val="0"/>
            <c:explosion val="7"/>
            <c:spPr>
              <a:solidFill>
                <a:schemeClr val="accent1"/>
              </a:solidFill>
              <a:ln w="19050">
                <a:solidFill>
                  <a:schemeClr val="lt1"/>
                </a:solidFill>
              </a:ln>
              <a:effectLst/>
            </c:spPr>
            <c:extLst>
              <c:ext xmlns:c16="http://schemas.microsoft.com/office/drawing/2014/chart" uri="{C3380CC4-5D6E-409C-BE32-E72D297353CC}">
                <c16:uniqueId val="{00000009-6E41-4D43-A815-0DB2EEFBBEEC}"/>
              </c:ext>
            </c:extLst>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Report'!$A$55:$A$56</c:f>
              <c:strCache>
                <c:ptCount val="2"/>
                <c:pt idx="0">
                  <c:v>Delay</c:v>
                </c:pt>
                <c:pt idx="1">
                  <c:v>Ontime</c:v>
                </c:pt>
              </c:strCache>
            </c:strRef>
          </c:cat>
          <c:val>
            <c:numRef>
              <c:f>'Pivot Report'!$B$55:$B$56</c:f>
              <c:numCache>
                <c:formatCode>_(* #,##0.00_);_(* \(#,##0.00\);_(* "-"??_);_(@_)</c:formatCode>
                <c:ptCount val="2"/>
                <c:pt idx="0">
                  <c:v>273</c:v>
                </c:pt>
                <c:pt idx="1">
                  <c:v>206</c:v>
                </c:pt>
              </c:numCache>
            </c:numRef>
          </c:val>
          <c:extLst>
            <c:ext xmlns:c16="http://schemas.microsoft.com/office/drawing/2014/chart" uri="{C3380CC4-5D6E-409C-BE32-E72D297353CC}">
              <c16:uniqueId val="{00000008-6E41-4D43-A815-0DB2EEFBBEEC}"/>
            </c:ext>
          </c:extLst>
        </c:ser>
        <c:dLbls>
          <c:showLegendKey val="0"/>
          <c:showVal val="0"/>
          <c:showCatName val="0"/>
          <c:showSerName val="0"/>
          <c:showPercent val="0"/>
          <c:showBubbleSize val="0"/>
          <c:showLeaderLines val="1"/>
        </c:dLbls>
        <c:firstSliceAng val="13"/>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5555555555556572E-3"/>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5.5555555555556572E-3"/>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5555555555556572E-3"/>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marker>
          <c:symbol val="none"/>
        </c:marker>
        <c:dLbl>
          <c:idx val="0"/>
          <c:numFmt formatCode="0.00%" sourceLinked="0"/>
          <c:spPr>
            <a:noFill/>
            <a:ln w="0">
              <a:solidFill>
                <a:schemeClr val="lt1">
                  <a:shade val="50000"/>
                  <a:alpha val="98000"/>
                </a:schemeClr>
              </a:solid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noFill/>
          </a:ln>
          <a:effectLst/>
        </c:spPr>
        <c:dLbl>
          <c:idx val="0"/>
          <c:layout>
            <c:manualLayout>
              <c:x val="5.2325127290660842E-2"/>
              <c:y val="9.2595105165506463E-3"/>
            </c:manualLayout>
          </c:layout>
          <c:numFmt formatCode="0.00%" sourceLinked="0"/>
          <c:spPr>
            <a:noFill/>
            <a:ln w="0">
              <a:solidFill>
                <a:schemeClr val="lt1">
                  <a:shade val="50000"/>
                  <a:alpha val="98000"/>
                </a:schemeClr>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30980612705766969"/>
                  <c:h val="0.20613650708143547"/>
                </c:manualLayout>
              </c15:layout>
            </c:ext>
          </c:extLst>
        </c:dLbl>
      </c:pivotFmt>
      <c:pivotFmt>
        <c:idx val="11"/>
        <c:spPr>
          <a:solidFill>
            <a:schemeClr val="accent1"/>
          </a:solidFill>
          <a:ln w="19050">
            <a:noFill/>
          </a:ln>
          <a:effectLst/>
        </c:spPr>
        <c:dLbl>
          <c:idx val="0"/>
          <c:numFmt formatCode="0.00%" sourceLinked="0"/>
          <c:spPr>
            <a:noFill/>
            <a:ln w="0">
              <a:solidFill>
                <a:schemeClr val="lt1">
                  <a:shade val="50000"/>
                  <a:alpha val="98000"/>
                </a:schemeClr>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750777173499398"/>
                  <c:h val="0.20613650708143547"/>
                </c:manualLayout>
              </c15:layout>
            </c:ext>
          </c:extLst>
        </c:dLbl>
      </c:pivotFmt>
    </c:pivotFmts>
    <c:plotArea>
      <c:layout>
        <c:manualLayout>
          <c:layoutTarget val="inner"/>
          <c:xMode val="edge"/>
          <c:yMode val="edge"/>
          <c:x val="0.21082655509645457"/>
          <c:y val="0.20321522309711287"/>
          <c:w val="0.52033471063641801"/>
          <c:h val="0.60639006662628714"/>
        </c:manualLayout>
      </c:layout>
      <c:doughnutChart>
        <c:varyColors val="1"/>
        <c:ser>
          <c:idx val="0"/>
          <c:order val="0"/>
          <c:tx>
            <c:strRef>
              <c:f>'Pivot Report'!$E$46</c:f>
              <c:strCache>
                <c:ptCount val="1"/>
                <c:pt idx="0">
                  <c:v>Total</c:v>
                </c:pt>
              </c:strCache>
            </c:strRef>
          </c:tx>
          <c:spPr>
            <a:ln>
              <a:noFill/>
            </a:ln>
          </c:spPr>
          <c:dPt>
            <c:idx val="0"/>
            <c:bubble3D val="0"/>
            <c:spPr>
              <a:solidFill>
                <a:schemeClr val="accent1"/>
              </a:solidFill>
              <a:ln w="19050">
                <a:noFill/>
              </a:ln>
              <a:effectLst/>
            </c:spPr>
          </c:dPt>
          <c:dPt>
            <c:idx val="1"/>
            <c:bubble3D val="0"/>
            <c:spPr>
              <a:solidFill>
                <a:schemeClr val="accent2"/>
              </a:solidFill>
              <a:ln w="19050">
                <a:noFill/>
              </a:ln>
              <a:effectLst/>
            </c:spPr>
          </c:dPt>
          <c:dLbls>
            <c:dLbl>
              <c:idx val="0"/>
              <c:layout>
                <c:manualLayout>
                  <c:x val="5.2325127290660842E-2"/>
                  <c:y val="9.2595105165506463E-3"/>
                </c:manualLayout>
              </c:layout>
              <c:numFmt formatCode="0.00%" sourceLinked="0"/>
              <c:spPr>
                <a:noFill/>
                <a:ln w="0">
                  <a:solidFill>
                    <a:schemeClr val="lt1">
                      <a:shade val="50000"/>
                      <a:alpha val="98000"/>
                    </a:schemeClr>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30980612705766969"/>
                      <c:h val="0.20613650708143547"/>
                    </c:manualLayout>
                  </c15:layout>
                </c:ext>
              </c:extLst>
            </c:dLbl>
            <c:dLbl>
              <c:idx val="1"/>
              <c:numFmt formatCode="0.00%" sourceLinked="0"/>
              <c:spPr>
                <a:noFill/>
                <a:ln w="0">
                  <a:solidFill>
                    <a:schemeClr val="lt1">
                      <a:shade val="50000"/>
                      <a:alpha val="98000"/>
                    </a:schemeClr>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750777173499398"/>
                      <c:h val="0.20613650708143547"/>
                    </c:manualLayout>
                  </c15:layout>
                </c:ext>
              </c:extLst>
            </c:dLbl>
            <c:numFmt formatCode="0.00%" sourceLinked="0"/>
            <c:spPr>
              <a:noFill/>
              <a:ln w="0">
                <a:solidFill>
                  <a:schemeClr val="lt1">
                    <a:shade val="50000"/>
                    <a:alpha val="98000"/>
                  </a:schemeClr>
                </a:solid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Report'!$D$47:$D$48</c:f>
              <c:strCache>
                <c:ptCount val="2"/>
                <c:pt idx="0">
                  <c:v>Female</c:v>
                </c:pt>
                <c:pt idx="1">
                  <c:v>Male</c:v>
                </c:pt>
              </c:strCache>
            </c:strRef>
          </c:cat>
          <c:val>
            <c:numRef>
              <c:f>'Pivot Report'!$E$47:$E$48</c:f>
              <c:numCache>
                <c:formatCode>_(* #,##0.00_);_(* \(#,##0.00\);_(* "-"??_);_(@_)</c:formatCode>
                <c:ptCount val="2"/>
                <c:pt idx="0">
                  <c:v>235</c:v>
                </c:pt>
                <c:pt idx="1">
                  <c:v>244</c:v>
                </c:pt>
              </c:numCache>
            </c:numRef>
          </c:val>
          <c:extLst>
            <c:ext xmlns:c16="http://schemas.microsoft.com/office/drawing/2014/chart" uri="{C3380CC4-5D6E-409C-BE32-E72D297353CC}">
              <c16:uniqueId val="{00000008-AD4B-4C36-8A2A-658C284324EA}"/>
            </c:ext>
          </c:extLst>
        </c:ser>
        <c:dLbls>
          <c:showLegendKey val="0"/>
          <c:showVal val="0"/>
          <c:showCatName val="0"/>
          <c:showSerName val="0"/>
          <c:showPercent val="0"/>
          <c:showBubbleSize val="0"/>
          <c:showLeaderLines val="1"/>
        </c:dLbls>
        <c:firstSliceAng val="4"/>
        <c:holeSize val="66"/>
      </c:doughnutChart>
      <c:spPr>
        <a:noFill/>
        <a:ln>
          <a:noFill/>
        </a:ln>
        <a:effectLst/>
      </c:spPr>
    </c:plotArea>
    <c:legend>
      <c:legendPos val="r"/>
      <c:layout>
        <c:manualLayout>
          <c:xMode val="edge"/>
          <c:yMode val="edge"/>
          <c:x val="0.2290371828521435"/>
          <c:y val="3.2985564304461965E-2"/>
          <c:w val="0.58197066862215263"/>
          <c:h val="0.14582416085699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Report'!$F$54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Report'!$E$55:$E$62</c:f>
              <c:strCache>
                <c:ptCount val="8"/>
                <c:pt idx="0">
                  <c:v>Renal</c:v>
                </c:pt>
                <c:pt idx="1">
                  <c:v>Neurology</c:v>
                </c:pt>
                <c:pt idx="2">
                  <c:v>Physiotherapy</c:v>
                </c:pt>
                <c:pt idx="3">
                  <c:v>Gastroenterology</c:v>
                </c:pt>
                <c:pt idx="4">
                  <c:v>Cardiology</c:v>
                </c:pt>
                <c:pt idx="5">
                  <c:v>Orthopedics</c:v>
                </c:pt>
                <c:pt idx="6">
                  <c:v>General Practice</c:v>
                </c:pt>
                <c:pt idx="7">
                  <c:v>None</c:v>
                </c:pt>
              </c:strCache>
            </c:strRef>
          </c:cat>
          <c:val>
            <c:numRef>
              <c:f>'Pivot Report'!$F$55:$F$62</c:f>
              <c:numCache>
                <c:formatCode>_(* #,##0.00_);_(* \(#,##0.00\);_(* "-"??_);_(@_)</c:formatCode>
                <c:ptCount val="8"/>
                <c:pt idx="0">
                  <c:v>4</c:v>
                </c:pt>
                <c:pt idx="1">
                  <c:v>11</c:v>
                </c:pt>
                <c:pt idx="2">
                  <c:v>11</c:v>
                </c:pt>
                <c:pt idx="3">
                  <c:v>12</c:v>
                </c:pt>
                <c:pt idx="4">
                  <c:v>18</c:v>
                </c:pt>
                <c:pt idx="5">
                  <c:v>45</c:v>
                </c:pt>
                <c:pt idx="6">
                  <c:v>115</c:v>
                </c:pt>
                <c:pt idx="7">
                  <c:v>263</c:v>
                </c:pt>
              </c:numCache>
            </c:numRef>
          </c:val>
          <c:extLst>
            <c:ext xmlns:c16="http://schemas.microsoft.com/office/drawing/2014/chart" uri="{C3380CC4-5D6E-409C-BE32-E72D297353CC}">
              <c16:uniqueId val="{00000004-93FB-4878-A70F-5E31457A957E}"/>
            </c:ext>
          </c:extLst>
        </c:ser>
        <c:dLbls>
          <c:showLegendKey val="0"/>
          <c:showVal val="0"/>
          <c:showCatName val="0"/>
          <c:showSerName val="0"/>
          <c:showPercent val="0"/>
          <c:showBubbleSize val="0"/>
        </c:dLbls>
        <c:gapWidth val="182"/>
        <c:axId val="503179856"/>
        <c:axId val="503173616"/>
      </c:barChart>
      <c:catAx>
        <c:axId val="50317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173616"/>
        <c:crosses val="autoZero"/>
        <c:auto val="1"/>
        <c:lblAlgn val="ctr"/>
        <c:lblOffset val="100"/>
        <c:noMultiLvlLbl val="0"/>
      </c:catAx>
      <c:valAx>
        <c:axId val="503173616"/>
        <c:scaling>
          <c:orientation val="minMax"/>
        </c:scaling>
        <c:delete val="1"/>
        <c:axPos val="b"/>
        <c:numFmt formatCode="_(* #,##0.00_);_(* \(#,##0.00\);_(* &quot;-&quot;??_);_(@_)" sourceLinked="1"/>
        <c:majorTickMark val="none"/>
        <c:minorTickMark val="none"/>
        <c:tickLblPos val="nextTo"/>
        <c:crossAx val="50317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Report'!$L$5:$L$35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Report'!$M$5:$M$35</c:f>
              <c:numCache>
                <c:formatCode>General</c:formatCode>
                <c:ptCount val="30"/>
                <c:pt idx="0">
                  <c:v>19</c:v>
                </c:pt>
                <c:pt idx="1">
                  <c:v>31</c:v>
                </c:pt>
                <c:pt idx="2">
                  <c:v>23</c:v>
                </c:pt>
                <c:pt idx="3">
                  <c:v>6</c:v>
                </c:pt>
                <c:pt idx="4">
                  <c:v>39</c:v>
                </c:pt>
                <c:pt idx="5">
                  <c:v>8</c:v>
                </c:pt>
                <c:pt idx="6">
                  <c:v>8</c:v>
                </c:pt>
                <c:pt idx="7">
                  <c:v>24</c:v>
                </c:pt>
                <c:pt idx="8">
                  <c:v>21</c:v>
                </c:pt>
                <c:pt idx="9">
                  <c:v>42</c:v>
                </c:pt>
                <c:pt idx="10">
                  <c:v>26</c:v>
                </c:pt>
                <c:pt idx="11">
                  <c:v>23</c:v>
                </c:pt>
                <c:pt idx="12">
                  <c:v>28</c:v>
                </c:pt>
                <c:pt idx="13">
                  <c:v>39</c:v>
                </c:pt>
                <c:pt idx="14">
                  <c:v>17</c:v>
                </c:pt>
                <c:pt idx="15">
                  <c:v>34</c:v>
                </c:pt>
                <c:pt idx="16">
                  <c:v>29</c:v>
                </c:pt>
                <c:pt idx="17">
                  <c:v>28</c:v>
                </c:pt>
                <c:pt idx="18">
                  <c:v>29</c:v>
                </c:pt>
                <c:pt idx="19">
                  <c:v>14</c:v>
                </c:pt>
                <c:pt idx="20">
                  <c:v>18</c:v>
                </c:pt>
                <c:pt idx="21">
                  <c:v>20</c:v>
                </c:pt>
                <c:pt idx="22">
                  <c:v>15</c:v>
                </c:pt>
                <c:pt idx="23">
                  <c:v>37</c:v>
                </c:pt>
                <c:pt idx="24">
                  <c:v>23</c:v>
                </c:pt>
                <c:pt idx="25">
                  <c:v>25</c:v>
                </c:pt>
                <c:pt idx="26">
                  <c:v>49</c:v>
                </c:pt>
                <c:pt idx="27">
                  <c:v>23</c:v>
                </c:pt>
                <c:pt idx="28">
                  <c:v>43</c:v>
                </c:pt>
                <c:pt idx="29">
                  <c:v>28</c:v>
                </c:pt>
              </c:numCache>
            </c:numRef>
          </c:val>
          <c:extLst>
            <c:ext xmlns:c16="http://schemas.microsoft.com/office/drawing/2014/chart" uri="{C3380CC4-5D6E-409C-BE32-E72D297353CC}">
              <c16:uniqueId val="{00000003-A8F7-42F0-A93F-ECBD4FDE90ED}"/>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318779535"/>
        <c:axId val="2072069968"/>
      </c:areaChart>
      <c:catAx>
        <c:axId val="31877953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072069968"/>
        <c:crosses val="autoZero"/>
        <c:auto val="1"/>
        <c:lblAlgn val="ctr"/>
        <c:lblOffset val="100"/>
        <c:noMultiLvlLbl val="0"/>
      </c:catAx>
      <c:valAx>
        <c:axId val="207206996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8779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205818022747151E-2"/>
          <c:y val="6.9444444444444448E-2"/>
          <c:w val="0.87955096237970254"/>
          <c:h val="0.77870662000583257"/>
        </c:manualLayout>
      </c:layout>
      <c:areaChart>
        <c:grouping val="standard"/>
        <c:varyColors val="0"/>
        <c:ser>
          <c:idx val="0"/>
          <c:order val="0"/>
          <c:tx>
            <c:strRef>
              <c:f>'Pivot Report'!$F$4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Report'!$E$5:$E$35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Report'!$F$5:$F$35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3-6232-4561-8305-40E91A2905F5}"/>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834602256"/>
        <c:axId val="2078278256"/>
      </c:areaChart>
      <c:catAx>
        <c:axId val="183460225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078278256"/>
        <c:crosses val="autoZero"/>
        <c:auto val="1"/>
        <c:lblAlgn val="ctr"/>
        <c:lblOffset val="100"/>
        <c:noMultiLvlLbl val="0"/>
      </c:catAx>
      <c:valAx>
        <c:axId val="207827825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46022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Report'!$I$5:$I$35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Report'!$J$5:$J$35</c:f>
              <c:numCache>
                <c:formatCode>General</c:formatCode>
                <c:ptCount val="30"/>
                <c:pt idx="0">
                  <c:v>769</c:v>
                </c:pt>
                <c:pt idx="1">
                  <c:v>383</c:v>
                </c:pt>
                <c:pt idx="2">
                  <c:v>475</c:v>
                </c:pt>
                <c:pt idx="3">
                  <c:v>290</c:v>
                </c:pt>
                <c:pt idx="4">
                  <c:v>679</c:v>
                </c:pt>
                <c:pt idx="5">
                  <c:v>422</c:v>
                </c:pt>
                <c:pt idx="6">
                  <c:v>372</c:v>
                </c:pt>
                <c:pt idx="7">
                  <c:v>697</c:v>
                </c:pt>
                <c:pt idx="8">
                  <c:v>437</c:v>
                </c:pt>
                <c:pt idx="9">
                  <c:v>438</c:v>
                </c:pt>
                <c:pt idx="10">
                  <c:v>665</c:v>
                </c:pt>
                <c:pt idx="11">
                  <c:v>1108</c:v>
                </c:pt>
                <c:pt idx="12">
                  <c:v>389</c:v>
                </c:pt>
                <c:pt idx="13">
                  <c:v>665</c:v>
                </c:pt>
                <c:pt idx="14">
                  <c:v>483</c:v>
                </c:pt>
                <c:pt idx="15">
                  <c:v>510</c:v>
                </c:pt>
                <c:pt idx="16">
                  <c:v>560</c:v>
                </c:pt>
                <c:pt idx="17">
                  <c:v>837</c:v>
                </c:pt>
                <c:pt idx="18">
                  <c:v>599</c:v>
                </c:pt>
                <c:pt idx="19">
                  <c:v>527</c:v>
                </c:pt>
                <c:pt idx="20">
                  <c:v>499</c:v>
                </c:pt>
                <c:pt idx="21">
                  <c:v>620</c:v>
                </c:pt>
                <c:pt idx="22">
                  <c:v>521</c:v>
                </c:pt>
                <c:pt idx="23">
                  <c:v>509</c:v>
                </c:pt>
                <c:pt idx="24">
                  <c:v>731</c:v>
                </c:pt>
                <c:pt idx="25">
                  <c:v>478</c:v>
                </c:pt>
                <c:pt idx="26">
                  <c:v>536</c:v>
                </c:pt>
                <c:pt idx="27">
                  <c:v>521</c:v>
                </c:pt>
                <c:pt idx="28">
                  <c:v>540</c:v>
                </c:pt>
                <c:pt idx="29">
                  <c:v>458</c:v>
                </c:pt>
              </c:numCache>
            </c:numRef>
          </c:val>
          <c:extLst>
            <c:ext xmlns:c16="http://schemas.microsoft.com/office/drawing/2014/chart" uri="{C3380CC4-5D6E-409C-BE32-E72D297353CC}">
              <c16:uniqueId val="{00000003-A37D-4F47-8032-2F3FCC560317}"/>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315938015"/>
        <c:axId val="315939455"/>
      </c:areaChart>
      <c:catAx>
        <c:axId val="31593801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315939455"/>
        <c:crosses val="autoZero"/>
        <c:auto val="1"/>
        <c:lblAlgn val="ctr"/>
        <c:lblOffset val="100"/>
        <c:noMultiLvlLbl val="0"/>
      </c:catAx>
      <c:valAx>
        <c:axId val="31593945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5938015"/>
        <c:crosses val="autoZero"/>
        <c:crossBetween val="midCat"/>
      </c:valAx>
      <c:spPr>
        <a:noFill/>
        <a:ln>
          <a:noFill/>
        </a:ln>
        <a:effectLst/>
      </c:spPr>
    </c:plotArea>
    <c:plotVisOnly val="1"/>
    <c:dispBlanksAs val="zero"/>
    <c:showDLblsOverMax val="0"/>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erage Satisfica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30480</xdr:colOff>
      <xdr:row>30</xdr:row>
      <xdr:rowOff>175260</xdr:rowOff>
    </xdr:from>
    <xdr:to>
      <xdr:col>3</xdr:col>
      <xdr:colOff>1516380</xdr:colOff>
      <xdr:row>32</xdr:row>
      <xdr:rowOff>213360</xdr:rowOff>
    </xdr:to>
    <xdr:graphicFrame macro="">
      <xdr:nvGraphicFramePr>
        <xdr:cNvPr id="3" name="Chart 2">
          <a:extLst>
            <a:ext uri="{FF2B5EF4-FFF2-40B4-BE49-F238E27FC236}">
              <a16:creationId xmlns:a16="http://schemas.microsoft.com/office/drawing/2014/main" id="{21E7C41D-78C9-311E-AF39-6E8D8E0F88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83820</xdr:colOff>
      <xdr:row>0</xdr:row>
      <xdr:rowOff>76200</xdr:rowOff>
    </xdr:from>
    <xdr:to>
      <xdr:col>8</xdr:col>
      <xdr:colOff>411480</xdr:colOff>
      <xdr:row>4</xdr:row>
      <xdr:rowOff>78828</xdr:rowOff>
    </xdr:to>
    <xdr:sp macro="" textlink="">
      <xdr:nvSpPr>
        <xdr:cNvPr id="2" name="Rectangle: Rounded Corners 1">
          <a:extLst>
            <a:ext uri="{FF2B5EF4-FFF2-40B4-BE49-F238E27FC236}">
              <a16:creationId xmlns:a16="http://schemas.microsoft.com/office/drawing/2014/main" id="{787E60F2-89C3-6EAF-D613-E5BEBDD93F1E}"/>
            </a:ext>
          </a:extLst>
        </xdr:cNvPr>
        <xdr:cNvSpPr/>
      </xdr:nvSpPr>
      <xdr:spPr>
        <a:xfrm>
          <a:off x="83820" y="76200"/>
          <a:ext cx="5232488" cy="73835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clientData/>
  </xdr:twoCellAnchor>
  <xdr:twoCellAnchor>
    <xdr:from>
      <xdr:col>8</xdr:col>
      <xdr:colOff>499672</xdr:colOff>
      <xdr:row>0</xdr:row>
      <xdr:rowOff>83820</xdr:rowOff>
    </xdr:from>
    <xdr:to>
      <xdr:col>12</xdr:col>
      <xdr:colOff>175173</xdr:colOff>
      <xdr:row>4</xdr:row>
      <xdr:rowOff>61310</xdr:rowOff>
    </xdr:to>
    <xdr:sp macro="" textlink="">
      <xdr:nvSpPr>
        <xdr:cNvPr id="3" name="Rectangle: Rounded Corners 2">
          <a:extLst>
            <a:ext uri="{FF2B5EF4-FFF2-40B4-BE49-F238E27FC236}">
              <a16:creationId xmlns:a16="http://schemas.microsoft.com/office/drawing/2014/main" id="{FC6CB4D7-5E29-3B91-CB40-8E087FCB6207}"/>
            </a:ext>
          </a:extLst>
        </xdr:cNvPr>
        <xdr:cNvSpPr/>
      </xdr:nvSpPr>
      <xdr:spPr>
        <a:xfrm>
          <a:off x="5404500" y="83820"/>
          <a:ext cx="2127914" cy="713214"/>
        </a:xfrm>
        <a:prstGeom prst="roundRect">
          <a:avLst>
            <a:gd name="adj" fmla="val 1284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312420</xdr:colOff>
      <xdr:row>0</xdr:row>
      <xdr:rowOff>76200</xdr:rowOff>
    </xdr:from>
    <xdr:to>
      <xdr:col>16</xdr:col>
      <xdr:colOff>327660</xdr:colOff>
      <xdr:row>12</xdr:row>
      <xdr:rowOff>152400</xdr:rowOff>
    </xdr:to>
    <xdr:sp macro="" textlink="">
      <xdr:nvSpPr>
        <xdr:cNvPr id="4" name="Rectangle: Rounded Corners 3">
          <a:extLst>
            <a:ext uri="{FF2B5EF4-FFF2-40B4-BE49-F238E27FC236}">
              <a16:creationId xmlns:a16="http://schemas.microsoft.com/office/drawing/2014/main" id="{95366323-1065-C5A5-6B45-124E77252849}"/>
            </a:ext>
          </a:extLst>
        </xdr:cNvPr>
        <xdr:cNvSpPr/>
      </xdr:nvSpPr>
      <xdr:spPr>
        <a:xfrm>
          <a:off x="7627620" y="76200"/>
          <a:ext cx="2453640" cy="2270760"/>
        </a:xfrm>
        <a:prstGeom prst="roundRect">
          <a:avLst>
            <a:gd name="adj" fmla="val 697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449580</xdr:colOff>
      <xdr:row>0</xdr:row>
      <xdr:rowOff>68580</xdr:rowOff>
    </xdr:from>
    <xdr:to>
      <xdr:col>20</xdr:col>
      <xdr:colOff>464820</xdr:colOff>
      <xdr:row>12</xdr:row>
      <xdr:rowOff>137160</xdr:rowOff>
    </xdr:to>
    <xdr:sp macro="" textlink="">
      <xdr:nvSpPr>
        <xdr:cNvPr id="5" name="Rectangle: Rounded Corners 4">
          <a:extLst>
            <a:ext uri="{FF2B5EF4-FFF2-40B4-BE49-F238E27FC236}">
              <a16:creationId xmlns:a16="http://schemas.microsoft.com/office/drawing/2014/main" id="{7F65B7BB-80D1-5F49-8123-A9AB0762D373}"/>
            </a:ext>
          </a:extLst>
        </xdr:cNvPr>
        <xdr:cNvSpPr/>
      </xdr:nvSpPr>
      <xdr:spPr>
        <a:xfrm>
          <a:off x="10203180" y="68580"/>
          <a:ext cx="2453640" cy="2263140"/>
        </a:xfrm>
        <a:prstGeom prst="roundRect">
          <a:avLst>
            <a:gd name="adj" fmla="val 697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xdr:colOff>
      <xdr:row>4</xdr:row>
      <xdr:rowOff>140137</xdr:rowOff>
    </xdr:from>
    <xdr:to>
      <xdr:col>1</xdr:col>
      <xdr:colOff>320040</xdr:colOff>
      <xdr:row>30</xdr:row>
      <xdr:rowOff>35035</xdr:rowOff>
    </xdr:to>
    <xdr:sp macro="" textlink="">
      <xdr:nvSpPr>
        <xdr:cNvPr id="9" name="Rectangle: Rounded Corners 8">
          <a:extLst>
            <a:ext uri="{FF2B5EF4-FFF2-40B4-BE49-F238E27FC236}">
              <a16:creationId xmlns:a16="http://schemas.microsoft.com/office/drawing/2014/main" id="{A9817FF6-C925-FDE4-FA4D-1F147196C8CC}"/>
            </a:ext>
          </a:extLst>
        </xdr:cNvPr>
        <xdr:cNvSpPr/>
      </xdr:nvSpPr>
      <xdr:spPr>
        <a:xfrm>
          <a:off x="45720" y="875861"/>
          <a:ext cx="887423" cy="467710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411480</xdr:colOff>
      <xdr:row>4</xdr:row>
      <xdr:rowOff>124919</xdr:rowOff>
    </xdr:from>
    <xdr:to>
      <xdr:col>5</xdr:col>
      <xdr:colOff>121920</xdr:colOff>
      <xdr:row>13</xdr:row>
      <xdr:rowOff>1</xdr:rowOff>
    </xdr:to>
    <xdr:sp macro="" textlink="">
      <xdr:nvSpPr>
        <xdr:cNvPr id="10" name="Rectangle: Rounded Corners 9">
          <a:extLst>
            <a:ext uri="{FF2B5EF4-FFF2-40B4-BE49-F238E27FC236}">
              <a16:creationId xmlns:a16="http://schemas.microsoft.com/office/drawing/2014/main" id="{4FD41B10-D7D9-351D-9EA4-70B649280172}"/>
            </a:ext>
          </a:extLst>
        </xdr:cNvPr>
        <xdr:cNvSpPr/>
      </xdr:nvSpPr>
      <xdr:spPr>
        <a:xfrm>
          <a:off x="1023578" y="874427"/>
          <a:ext cx="2158834" cy="1561476"/>
        </a:xfrm>
        <a:prstGeom prst="roundRect">
          <a:avLst>
            <a:gd name="adj" fmla="val 1054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152400</xdr:colOff>
      <xdr:row>4</xdr:row>
      <xdr:rowOff>149903</xdr:rowOff>
    </xdr:from>
    <xdr:to>
      <xdr:col>8</xdr:col>
      <xdr:colOff>403860</xdr:colOff>
      <xdr:row>13</xdr:row>
      <xdr:rowOff>7621</xdr:rowOff>
    </xdr:to>
    <xdr:sp macro="" textlink="">
      <xdr:nvSpPr>
        <xdr:cNvPr id="27" name="Rectangle: Rounded Corners 26">
          <a:extLst>
            <a:ext uri="{FF2B5EF4-FFF2-40B4-BE49-F238E27FC236}">
              <a16:creationId xmlns:a16="http://schemas.microsoft.com/office/drawing/2014/main" id="{D21EAF5B-EA56-2C89-89DE-259261C8E34D}"/>
            </a:ext>
          </a:extLst>
        </xdr:cNvPr>
        <xdr:cNvSpPr/>
      </xdr:nvSpPr>
      <xdr:spPr>
        <a:xfrm>
          <a:off x="3212892" y="899411"/>
          <a:ext cx="2087755" cy="1544112"/>
        </a:xfrm>
        <a:prstGeom prst="roundRect">
          <a:avLst>
            <a:gd name="adj" fmla="val 866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434340</xdr:colOff>
      <xdr:row>4</xdr:row>
      <xdr:rowOff>137411</xdr:rowOff>
    </xdr:from>
    <xdr:to>
      <xdr:col>12</xdr:col>
      <xdr:colOff>213360</xdr:colOff>
      <xdr:row>13</xdr:row>
      <xdr:rowOff>1</xdr:rowOff>
    </xdr:to>
    <xdr:sp macro="" textlink="">
      <xdr:nvSpPr>
        <xdr:cNvPr id="28" name="Rectangle: Rounded Corners 27">
          <a:extLst>
            <a:ext uri="{FF2B5EF4-FFF2-40B4-BE49-F238E27FC236}">
              <a16:creationId xmlns:a16="http://schemas.microsoft.com/office/drawing/2014/main" id="{BF40D2F7-4811-BEA9-83BF-FF73E3033DCF}"/>
            </a:ext>
          </a:extLst>
        </xdr:cNvPr>
        <xdr:cNvSpPr/>
      </xdr:nvSpPr>
      <xdr:spPr>
        <a:xfrm>
          <a:off x="5331127" y="886919"/>
          <a:ext cx="2227413" cy="1548984"/>
        </a:xfrm>
        <a:prstGeom prst="roundRect">
          <a:avLst>
            <a:gd name="adj" fmla="val 982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403860</xdr:colOff>
      <xdr:row>13</xdr:row>
      <xdr:rowOff>91440</xdr:rowOff>
    </xdr:from>
    <xdr:to>
      <xdr:col>12</xdr:col>
      <xdr:colOff>60960</xdr:colOff>
      <xdr:row>18</xdr:row>
      <xdr:rowOff>53340</xdr:rowOff>
    </xdr:to>
    <xdr:sp macro="" textlink="">
      <xdr:nvSpPr>
        <xdr:cNvPr id="30" name="Rectangle: Rounded Corners 29">
          <a:extLst>
            <a:ext uri="{FF2B5EF4-FFF2-40B4-BE49-F238E27FC236}">
              <a16:creationId xmlns:a16="http://schemas.microsoft.com/office/drawing/2014/main" id="{B9C515BB-E5CB-7E90-B4C5-136F1E87A136}"/>
            </a:ext>
          </a:extLst>
        </xdr:cNvPr>
        <xdr:cNvSpPr/>
      </xdr:nvSpPr>
      <xdr:spPr>
        <a:xfrm>
          <a:off x="1013460" y="2468880"/>
          <a:ext cx="6362700" cy="876300"/>
        </a:xfrm>
        <a:prstGeom prst="roundRect">
          <a:avLst>
            <a:gd name="adj" fmla="val 1130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426720</xdr:colOff>
      <xdr:row>18</xdr:row>
      <xdr:rowOff>137160</xdr:rowOff>
    </xdr:from>
    <xdr:to>
      <xdr:col>12</xdr:col>
      <xdr:colOff>83820</xdr:colOff>
      <xdr:row>30</xdr:row>
      <xdr:rowOff>38100</xdr:rowOff>
    </xdr:to>
    <xdr:sp macro="" textlink="">
      <xdr:nvSpPr>
        <xdr:cNvPr id="31" name="Rectangle: Rounded Corners 30">
          <a:extLst>
            <a:ext uri="{FF2B5EF4-FFF2-40B4-BE49-F238E27FC236}">
              <a16:creationId xmlns:a16="http://schemas.microsoft.com/office/drawing/2014/main" id="{B8560E92-EB55-9A9F-D5BE-EEF0272AC960}"/>
            </a:ext>
          </a:extLst>
        </xdr:cNvPr>
        <xdr:cNvSpPr/>
      </xdr:nvSpPr>
      <xdr:spPr>
        <a:xfrm>
          <a:off x="1036320" y="3429000"/>
          <a:ext cx="6362700" cy="2095500"/>
        </a:xfrm>
        <a:prstGeom prst="roundRect">
          <a:avLst>
            <a:gd name="adj" fmla="val 684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251461</xdr:colOff>
      <xdr:row>13</xdr:row>
      <xdr:rowOff>76200</xdr:rowOff>
    </xdr:from>
    <xdr:to>
      <xdr:col>20</xdr:col>
      <xdr:colOff>481725</xdr:colOff>
      <xdr:row>30</xdr:row>
      <xdr:rowOff>45720</xdr:rowOff>
    </xdr:to>
    <xdr:sp macro="" textlink="">
      <xdr:nvSpPr>
        <xdr:cNvPr id="38" name="Rectangle: Rounded Corners 37">
          <a:extLst>
            <a:ext uri="{FF2B5EF4-FFF2-40B4-BE49-F238E27FC236}">
              <a16:creationId xmlns:a16="http://schemas.microsoft.com/office/drawing/2014/main" id="{E9A9885B-710E-6132-4270-EC3787352D4E}"/>
            </a:ext>
          </a:extLst>
        </xdr:cNvPr>
        <xdr:cNvSpPr/>
      </xdr:nvSpPr>
      <xdr:spPr>
        <a:xfrm>
          <a:off x="7608702" y="2467303"/>
          <a:ext cx="5135092" cy="3096348"/>
        </a:xfrm>
        <a:prstGeom prst="roundRect">
          <a:avLst>
            <a:gd name="adj" fmla="val 471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2</xdr:col>
      <xdr:colOff>305938</xdr:colOff>
      <xdr:row>1</xdr:row>
      <xdr:rowOff>26714</xdr:rowOff>
    </xdr:from>
    <xdr:to>
      <xdr:col>8</xdr:col>
      <xdr:colOff>62098</xdr:colOff>
      <xdr:row>2</xdr:row>
      <xdr:rowOff>180165</xdr:rowOff>
    </xdr:to>
    <xdr:sp macro="" textlink="">
      <xdr:nvSpPr>
        <xdr:cNvPr id="39" name="TextBox 38">
          <a:extLst>
            <a:ext uri="{FF2B5EF4-FFF2-40B4-BE49-F238E27FC236}">
              <a16:creationId xmlns:a16="http://schemas.microsoft.com/office/drawing/2014/main" id="{423641CA-8228-17D2-74B0-9BA0BB75C775}"/>
            </a:ext>
          </a:extLst>
        </xdr:cNvPr>
        <xdr:cNvSpPr txBox="1"/>
      </xdr:nvSpPr>
      <xdr:spPr>
        <a:xfrm>
          <a:off x="1532145" y="210645"/>
          <a:ext cx="3434781" cy="33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b="1"/>
            <a:t>Hospital</a:t>
          </a:r>
          <a:r>
            <a:rPr lang="en-IN" sz="1600" b="1" baseline="0"/>
            <a:t> Emergency Room Dashboard</a:t>
          </a:r>
          <a:endParaRPr lang="en-IN" sz="1600" b="1"/>
        </a:p>
      </xdr:txBody>
    </xdr:sp>
    <xdr:clientData/>
  </xdr:twoCellAnchor>
  <xdr:twoCellAnchor editAs="oneCell">
    <xdr:from>
      <xdr:col>0</xdr:col>
      <xdr:colOff>350521</xdr:colOff>
      <xdr:row>0</xdr:row>
      <xdr:rowOff>91440</xdr:rowOff>
    </xdr:from>
    <xdr:to>
      <xdr:col>2</xdr:col>
      <xdr:colOff>281941</xdr:colOff>
      <xdr:row>4</xdr:row>
      <xdr:rowOff>0</xdr:rowOff>
    </xdr:to>
    <xdr:pic>
      <xdr:nvPicPr>
        <xdr:cNvPr id="41" name="Picture 40">
          <a:extLst>
            <a:ext uri="{FF2B5EF4-FFF2-40B4-BE49-F238E27FC236}">
              <a16:creationId xmlns:a16="http://schemas.microsoft.com/office/drawing/2014/main" id="{752C258B-3804-A2E6-0789-436455B948B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521" t="6172" r="4929" b="2469"/>
        <a:stretch>
          <a:fillRect/>
        </a:stretch>
      </xdr:blipFill>
      <xdr:spPr>
        <a:xfrm>
          <a:off x="350521" y="91440"/>
          <a:ext cx="1150620" cy="640080"/>
        </a:xfrm>
        <a:prstGeom prst="rect">
          <a:avLst/>
        </a:prstGeom>
      </xdr:spPr>
    </xdr:pic>
    <xdr:clientData/>
  </xdr:twoCellAnchor>
  <xdr:twoCellAnchor>
    <xdr:from>
      <xdr:col>4</xdr:col>
      <xdr:colOff>40816</xdr:colOff>
      <xdr:row>2</xdr:row>
      <xdr:rowOff>154240</xdr:rowOff>
    </xdr:from>
    <xdr:to>
      <xdr:col>5</xdr:col>
      <xdr:colOff>608200</xdr:colOff>
      <xdr:row>3</xdr:row>
      <xdr:rowOff>161860</xdr:rowOff>
    </xdr:to>
    <xdr:sp macro="" textlink="">
      <xdr:nvSpPr>
        <xdr:cNvPr id="44" name="TextBox 43">
          <a:extLst>
            <a:ext uri="{FF2B5EF4-FFF2-40B4-BE49-F238E27FC236}">
              <a16:creationId xmlns:a16="http://schemas.microsoft.com/office/drawing/2014/main" id="{E20E5890-108E-8CA4-3750-9742790462C9}"/>
            </a:ext>
          </a:extLst>
        </xdr:cNvPr>
        <xdr:cNvSpPr txBox="1"/>
      </xdr:nvSpPr>
      <xdr:spPr>
        <a:xfrm>
          <a:off x="2493230" y="522102"/>
          <a:ext cx="1180487" cy="191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a:t>Monthly</a:t>
          </a:r>
          <a:r>
            <a:rPr lang="en-IN" sz="1200" b="1" baseline="0"/>
            <a:t> </a:t>
          </a:r>
          <a:r>
            <a:rPr lang="en-IN" sz="1400" b="1" baseline="0"/>
            <a:t>Report</a:t>
          </a:r>
          <a:endParaRPr lang="en-IN" sz="1400" b="1"/>
        </a:p>
      </xdr:txBody>
    </xdr:sp>
    <xdr:clientData/>
  </xdr:twoCellAnchor>
  <xdr:twoCellAnchor>
    <xdr:from>
      <xdr:col>2</xdr:col>
      <xdr:colOff>358140</xdr:colOff>
      <xdr:row>7</xdr:row>
      <xdr:rowOff>22860</xdr:rowOff>
    </xdr:from>
    <xdr:to>
      <xdr:col>4</xdr:col>
      <xdr:colOff>182880</xdr:colOff>
      <xdr:row>8</xdr:row>
      <xdr:rowOff>15240</xdr:rowOff>
    </xdr:to>
    <xdr:sp macro="" textlink="">
      <xdr:nvSpPr>
        <xdr:cNvPr id="45" name="TextBox 44">
          <a:extLst>
            <a:ext uri="{FF2B5EF4-FFF2-40B4-BE49-F238E27FC236}">
              <a16:creationId xmlns:a16="http://schemas.microsoft.com/office/drawing/2014/main" id="{42D79F29-3282-C59A-CC39-2D425809D73A}"/>
            </a:ext>
          </a:extLst>
        </xdr:cNvPr>
        <xdr:cNvSpPr txBox="1"/>
      </xdr:nvSpPr>
      <xdr:spPr>
        <a:xfrm>
          <a:off x="1577340" y="1303020"/>
          <a:ext cx="104394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No.</a:t>
          </a:r>
          <a:r>
            <a:rPr lang="en-IN" sz="1200" b="1" baseline="0"/>
            <a:t> of Patients</a:t>
          </a:r>
          <a:endParaRPr lang="en-IN" sz="1200" b="1"/>
        </a:p>
      </xdr:txBody>
    </xdr:sp>
    <xdr:clientData/>
  </xdr:twoCellAnchor>
  <xdr:twoCellAnchor>
    <xdr:from>
      <xdr:col>2</xdr:col>
      <xdr:colOff>571500</xdr:colOff>
      <xdr:row>5</xdr:row>
      <xdr:rowOff>129540</xdr:rowOff>
    </xdr:from>
    <xdr:to>
      <xdr:col>3</xdr:col>
      <xdr:colOff>533400</xdr:colOff>
      <xdr:row>7</xdr:row>
      <xdr:rowOff>45720</xdr:rowOff>
    </xdr:to>
    <xdr:sp macro="" textlink="'Pivot Report'!A5">
      <xdr:nvSpPr>
        <xdr:cNvPr id="47" name="TextBox 46">
          <a:extLst>
            <a:ext uri="{FF2B5EF4-FFF2-40B4-BE49-F238E27FC236}">
              <a16:creationId xmlns:a16="http://schemas.microsoft.com/office/drawing/2014/main" id="{7999EBE1-3240-3B4B-DCCA-54B4D208DB4F}"/>
            </a:ext>
          </a:extLst>
        </xdr:cNvPr>
        <xdr:cNvSpPr txBox="1"/>
      </xdr:nvSpPr>
      <xdr:spPr>
        <a:xfrm>
          <a:off x="1790700" y="1043940"/>
          <a:ext cx="5715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B9569AE2-351F-415E-91AF-C10F6E586592}" type="TxLink">
            <a:rPr lang="en-US" sz="1400" b="0" i="0" u="none" strike="noStrike">
              <a:solidFill>
                <a:srgbClr val="000000"/>
              </a:solidFill>
              <a:latin typeface="Arial Black" panose="020B0A04020102020204" pitchFamily="34" charset="0"/>
              <a:ea typeface="Calibri"/>
              <a:cs typeface="Calibri"/>
            </a:rPr>
            <a:pPr/>
            <a:t>479</a:t>
          </a:fld>
          <a:endParaRPr lang="en-US" sz="14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5</xdr:col>
      <xdr:colOff>541020</xdr:colOff>
      <xdr:row>7</xdr:row>
      <xdr:rowOff>22860</xdr:rowOff>
    </xdr:from>
    <xdr:to>
      <xdr:col>7</xdr:col>
      <xdr:colOff>571500</xdr:colOff>
      <xdr:row>8</xdr:row>
      <xdr:rowOff>76200</xdr:rowOff>
    </xdr:to>
    <xdr:sp macro="" textlink="">
      <xdr:nvSpPr>
        <xdr:cNvPr id="48" name="TextBox 47">
          <a:extLst>
            <a:ext uri="{FF2B5EF4-FFF2-40B4-BE49-F238E27FC236}">
              <a16:creationId xmlns:a16="http://schemas.microsoft.com/office/drawing/2014/main" id="{A735DBC2-E34C-B606-848E-676FE38CC081}"/>
            </a:ext>
          </a:extLst>
        </xdr:cNvPr>
        <xdr:cNvSpPr txBox="1"/>
      </xdr:nvSpPr>
      <xdr:spPr>
        <a:xfrm>
          <a:off x="3589020" y="1303020"/>
          <a:ext cx="12496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Average</a:t>
          </a:r>
          <a:r>
            <a:rPr lang="en-IN" sz="1200" b="1" baseline="0"/>
            <a:t> Wait Time</a:t>
          </a:r>
          <a:endParaRPr lang="en-IN" sz="1200" b="1"/>
        </a:p>
      </xdr:txBody>
    </xdr:sp>
    <xdr:clientData/>
  </xdr:twoCellAnchor>
  <xdr:twoCellAnchor>
    <xdr:from>
      <xdr:col>6</xdr:col>
      <xdr:colOff>144780</xdr:colOff>
      <xdr:row>5</xdr:row>
      <xdr:rowOff>137160</xdr:rowOff>
    </xdr:from>
    <xdr:to>
      <xdr:col>7</xdr:col>
      <xdr:colOff>274320</xdr:colOff>
      <xdr:row>7</xdr:row>
      <xdr:rowOff>53340</xdr:rowOff>
    </xdr:to>
    <xdr:sp macro="" textlink="'Pivot Report'!A9">
      <xdr:nvSpPr>
        <xdr:cNvPr id="49" name="TextBox 48">
          <a:extLst>
            <a:ext uri="{FF2B5EF4-FFF2-40B4-BE49-F238E27FC236}">
              <a16:creationId xmlns:a16="http://schemas.microsoft.com/office/drawing/2014/main" id="{C5C32025-CE29-44C0-85C2-A645569C0355}"/>
            </a:ext>
          </a:extLst>
        </xdr:cNvPr>
        <xdr:cNvSpPr txBox="1"/>
      </xdr:nvSpPr>
      <xdr:spPr>
        <a:xfrm>
          <a:off x="3802380" y="1051560"/>
          <a:ext cx="7391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2E595E3-192C-4CC5-AD98-14CFA1375F25}" type="TxLink">
            <a:rPr lang="en-US" sz="1400" b="0" i="0" u="none" strike="noStrike">
              <a:solidFill>
                <a:srgbClr val="000000"/>
              </a:solidFill>
              <a:latin typeface="Arial Black" panose="020B0A04020102020204" pitchFamily="34" charset="0"/>
              <a:ea typeface="Calibri"/>
              <a:cs typeface="Calibri"/>
            </a:rPr>
            <a:pPr/>
            <a:t> 34.90 </a:t>
          </a:fld>
          <a:endParaRPr lang="en-US" sz="14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9</xdr:col>
      <xdr:colOff>7620</xdr:colOff>
      <xdr:row>7</xdr:row>
      <xdr:rowOff>15240</xdr:rowOff>
    </xdr:from>
    <xdr:to>
      <xdr:col>11</xdr:col>
      <xdr:colOff>518160</xdr:colOff>
      <xdr:row>8</xdr:row>
      <xdr:rowOff>7620</xdr:rowOff>
    </xdr:to>
    <xdr:sp macro="" textlink="">
      <xdr:nvSpPr>
        <xdr:cNvPr id="50" name="TextBox 49">
          <a:extLst>
            <a:ext uri="{FF2B5EF4-FFF2-40B4-BE49-F238E27FC236}">
              <a16:creationId xmlns:a16="http://schemas.microsoft.com/office/drawing/2014/main" id="{E62294B3-6DAA-C1E5-A75F-AD4D5A3BB22D}"/>
            </a:ext>
          </a:extLst>
        </xdr:cNvPr>
        <xdr:cNvSpPr txBox="1"/>
      </xdr:nvSpPr>
      <xdr:spPr>
        <a:xfrm>
          <a:off x="5494020" y="1295400"/>
          <a:ext cx="172974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Patient</a:t>
          </a:r>
          <a:r>
            <a:rPr lang="en-IN" sz="1200" b="1" baseline="0"/>
            <a:t> Satisfication Score</a:t>
          </a:r>
          <a:endParaRPr lang="en-IN" sz="1200" b="1"/>
        </a:p>
      </xdr:txBody>
    </xdr:sp>
    <xdr:clientData/>
  </xdr:twoCellAnchor>
  <xdr:twoCellAnchor>
    <xdr:from>
      <xdr:col>9</xdr:col>
      <xdr:colOff>533400</xdr:colOff>
      <xdr:row>5</xdr:row>
      <xdr:rowOff>129540</xdr:rowOff>
    </xdr:from>
    <xdr:to>
      <xdr:col>10</xdr:col>
      <xdr:colOff>495300</xdr:colOff>
      <xdr:row>7</xdr:row>
      <xdr:rowOff>45720</xdr:rowOff>
    </xdr:to>
    <xdr:sp macro="" textlink="'Pivot Report'!A13">
      <xdr:nvSpPr>
        <xdr:cNvPr id="51" name="TextBox 50">
          <a:extLst>
            <a:ext uri="{FF2B5EF4-FFF2-40B4-BE49-F238E27FC236}">
              <a16:creationId xmlns:a16="http://schemas.microsoft.com/office/drawing/2014/main" id="{6F301C9A-6703-063F-FE57-7A0EFDAA3888}"/>
            </a:ext>
          </a:extLst>
        </xdr:cNvPr>
        <xdr:cNvSpPr txBox="1"/>
      </xdr:nvSpPr>
      <xdr:spPr>
        <a:xfrm>
          <a:off x="6019800" y="1043940"/>
          <a:ext cx="5715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6064E9DD-66A5-48C5-99B3-2562C247C52C}" type="TxLink">
            <a:rPr lang="en-US" sz="1400" b="0" i="0" u="none" strike="noStrike">
              <a:solidFill>
                <a:srgbClr val="000000"/>
              </a:solidFill>
              <a:latin typeface="Arial Black" panose="020B0A04020102020204" pitchFamily="34" charset="0"/>
              <a:ea typeface="Calibri"/>
              <a:cs typeface="Calibri"/>
            </a:rPr>
            <a:pPr/>
            <a:t> 5.30 </a:t>
          </a:fld>
          <a:endParaRPr lang="en-US" sz="1400" b="0" i="0" u="none" strike="noStrike">
            <a:solidFill>
              <a:srgbClr val="000000"/>
            </a:solidFill>
            <a:latin typeface="Arial Black" panose="020B0A04020102020204" pitchFamily="34" charset="0"/>
            <a:ea typeface="Calibri"/>
            <a:cs typeface="Calibri"/>
          </a:endParaRPr>
        </a:p>
      </xdr:txBody>
    </xdr:sp>
    <xdr:clientData/>
  </xdr:twoCellAnchor>
  <xdr:twoCellAnchor editAs="oneCell">
    <xdr:from>
      <xdr:col>4</xdr:col>
      <xdr:colOff>236220</xdr:colOff>
      <xdr:row>5</xdr:row>
      <xdr:rowOff>60960</xdr:rowOff>
    </xdr:from>
    <xdr:to>
      <xdr:col>4</xdr:col>
      <xdr:colOff>594360</xdr:colOff>
      <xdr:row>7</xdr:row>
      <xdr:rowOff>83820</xdr:rowOff>
    </xdr:to>
    <xdr:pic>
      <xdr:nvPicPr>
        <xdr:cNvPr id="55" name="Graphic 54" descr="Male profile with solid fill">
          <a:extLst>
            <a:ext uri="{FF2B5EF4-FFF2-40B4-BE49-F238E27FC236}">
              <a16:creationId xmlns:a16="http://schemas.microsoft.com/office/drawing/2014/main" id="{340076FB-A98E-EF10-31BE-5B295D721BC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674620" y="975360"/>
          <a:ext cx="358140" cy="388620"/>
        </a:xfrm>
        <a:prstGeom prst="rect">
          <a:avLst/>
        </a:prstGeom>
      </xdr:spPr>
    </xdr:pic>
    <xdr:clientData/>
  </xdr:twoCellAnchor>
  <xdr:twoCellAnchor editAs="oneCell">
    <xdr:from>
      <xdr:col>7</xdr:col>
      <xdr:colOff>510540</xdr:colOff>
      <xdr:row>5</xdr:row>
      <xdr:rowOff>99060</xdr:rowOff>
    </xdr:from>
    <xdr:to>
      <xdr:col>8</xdr:col>
      <xdr:colOff>205740</xdr:colOff>
      <xdr:row>7</xdr:row>
      <xdr:rowOff>15240</xdr:rowOff>
    </xdr:to>
    <xdr:pic>
      <xdr:nvPicPr>
        <xdr:cNvPr id="57" name="Graphic 56" descr="Hourglass Finished with solid fill">
          <a:extLst>
            <a:ext uri="{FF2B5EF4-FFF2-40B4-BE49-F238E27FC236}">
              <a16:creationId xmlns:a16="http://schemas.microsoft.com/office/drawing/2014/main" id="{8CE0669F-E1C9-2C58-AA3B-24D7C53AC1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777740" y="1013460"/>
          <a:ext cx="304800" cy="281940"/>
        </a:xfrm>
        <a:prstGeom prst="rect">
          <a:avLst/>
        </a:prstGeom>
      </xdr:spPr>
    </xdr:pic>
    <xdr:clientData/>
  </xdr:twoCellAnchor>
  <xdr:twoCellAnchor editAs="oneCell">
    <xdr:from>
      <xdr:col>11</xdr:col>
      <xdr:colOff>281940</xdr:colOff>
      <xdr:row>5</xdr:row>
      <xdr:rowOff>106680</xdr:rowOff>
    </xdr:from>
    <xdr:to>
      <xdr:col>12</xdr:col>
      <xdr:colOff>68580</xdr:colOff>
      <xdr:row>7</xdr:row>
      <xdr:rowOff>53340</xdr:rowOff>
    </xdr:to>
    <xdr:pic>
      <xdr:nvPicPr>
        <xdr:cNvPr id="59" name="Graphic 58" descr="Customer review with solid fill">
          <a:extLst>
            <a:ext uri="{FF2B5EF4-FFF2-40B4-BE49-F238E27FC236}">
              <a16:creationId xmlns:a16="http://schemas.microsoft.com/office/drawing/2014/main" id="{238B1F2E-7333-C70A-B2E4-50258EE3E72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987540" y="1021080"/>
          <a:ext cx="396240" cy="312420"/>
        </a:xfrm>
        <a:prstGeom prst="rect">
          <a:avLst/>
        </a:prstGeom>
      </xdr:spPr>
    </xdr:pic>
    <xdr:clientData/>
  </xdr:twoCellAnchor>
  <xdr:twoCellAnchor editAs="absolute">
    <xdr:from>
      <xdr:col>0</xdr:col>
      <xdr:colOff>190232</xdr:colOff>
      <xdr:row>5</xdr:row>
      <xdr:rowOff>81859</xdr:rowOff>
    </xdr:from>
    <xdr:to>
      <xdr:col>1</xdr:col>
      <xdr:colOff>237138</xdr:colOff>
      <xdr:row>29</xdr:row>
      <xdr:rowOff>122621</xdr:rowOff>
    </xdr:to>
    <mc:AlternateContent xmlns:mc="http://schemas.openxmlformats.org/markup-compatibility/2006" xmlns:a14="http://schemas.microsoft.com/office/drawing/2010/main">
      <mc:Choice Requires="a14">
        <xdr:graphicFrame macro="">
          <xdr:nvGraphicFramePr>
            <xdr:cNvPr id="60" name="Date (Month) 1">
              <a:extLst>
                <a:ext uri="{FF2B5EF4-FFF2-40B4-BE49-F238E27FC236}">
                  <a16:creationId xmlns:a16="http://schemas.microsoft.com/office/drawing/2014/main" id="{6472659A-0756-4682-BB75-71BBDF786679}"/>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90232" y="1009936"/>
              <a:ext cx="652598" cy="4495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274320</xdr:colOff>
      <xdr:row>8</xdr:row>
      <xdr:rowOff>114300</xdr:rowOff>
    </xdr:from>
    <xdr:to>
      <xdr:col>5</xdr:col>
      <xdr:colOff>388620</xdr:colOff>
      <xdr:row>13</xdr:row>
      <xdr:rowOff>22860</xdr:rowOff>
    </xdr:to>
    <xdr:graphicFrame macro="">
      <xdr:nvGraphicFramePr>
        <xdr:cNvPr id="61" name="Chart 60">
          <a:hlinkClick xmlns:r="http://schemas.openxmlformats.org/officeDocument/2006/relationships" r:id="rId8"/>
          <a:extLst>
            <a:ext uri="{FF2B5EF4-FFF2-40B4-BE49-F238E27FC236}">
              <a16:creationId xmlns:a16="http://schemas.microsoft.com/office/drawing/2014/main" id="{4EE40F93-86DE-4A2A-AA3A-BD850AF64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586740</xdr:colOff>
      <xdr:row>8</xdr:row>
      <xdr:rowOff>144780</xdr:rowOff>
    </xdr:from>
    <xdr:to>
      <xdr:col>8</xdr:col>
      <xdr:colOff>457200</xdr:colOff>
      <xdr:row>14</xdr:row>
      <xdr:rowOff>22860</xdr:rowOff>
    </xdr:to>
    <xdr:graphicFrame macro="">
      <xdr:nvGraphicFramePr>
        <xdr:cNvPr id="63" name="Chart 62">
          <a:hlinkClick xmlns:r="http://schemas.openxmlformats.org/officeDocument/2006/relationships" r:id="rId10"/>
          <a:extLst>
            <a:ext uri="{FF2B5EF4-FFF2-40B4-BE49-F238E27FC236}">
              <a16:creationId xmlns:a16="http://schemas.microsoft.com/office/drawing/2014/main" id="{3BE2CCC8-1258-484C-8BF9-4F6178458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586740</xdr:colOff>
      <xdr:row>8</xdr:row>
      <xdr:rowOff>106680</xdr:rowOff>
    </xdr:from>
    <xdr:to>
      <xdr:col>12</xdr:col>
      <xdr:colOff>91439</xdr:colOff>
      <xdr:row>12</xdr:row>
      <xdr:rowOff>121920</xdr:rowOff>
    </xdr:to>
    <xdr:graphicFrame macro="">
      <xdr:nvGraphicFramePr>
        <xdr:cNvPr id="65" name="Chart 64">
          <a:hlinkClick xmlns:r="http://schemas.openxmlformats.org/officeDocument/2006/relationships" r:id="rId12"/>
          <a:extLst>
            <a:ext uri="{FF2B5EF4-FFF2-40B4-BE49-F238E27FC236}">
              <a16:creationId xmlns:a16="http://schemas.microsoft.com/office/drawing/2014/main" id="{9F4C0011-D5AE-4217-B110-C04810B62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388620</xdr:colOff>
          <xdr:row>13</xdr:row>
          <xdr:rowOff>81380</xdr:rowOff>
        </xdr:from>
        <xdr:to>
          <xdr:col>12</xdr:col>
          <xdr:colOff>83820</xdr:colOff>
          <xdr:row>18</xdr:row>
          <xdr:rowOff>68580</xdr:rowOff>
        </xdr:to>
        <xdr:pic>
          <xdr:nvPicPr>
            <xdr:cNvPr id="8" name="Picture 7">
              <a:extLst>
                <a:ext uri="{FF2B5EF4-FFF2-40B4-BE49-F238E27FC236}">
                  <a16:creationId xmlns:a16="http://schemas.microsoft.com/office/drawing/2014/main" id="{8C2AD80F-BD2C-EA9F-05AD-804F239E26D0}"/>
                </a:ext>
              </a:extLst>
            </xdr:cNvPr>
            <xdr:cNvPicPr>
              <a:picLocks noChangeAspect="1" noChangeArrowheads="1"/>
              <a:extLst>
                <a:ext uri="{84589F7E-364E-4C9E-8A38-B11213B215E9}">
                  <a14:cameraTool cellRange="'Pivot Report'!$A$31:$D$33" spid="_x0000_s2070"/>
                </a:ext>
              </a:extLst>
            </xdr:cNvPicPr>
          </xdr:nvPicPr>
          <xdr:blipFill>
            <a:blip xmlns:r="http://schemas.openxmlformats.org/officeDocument/2006/relationships" r:embed="rId14"/>
            <a:srcRect/>
            <a:stretch>
              <a:fillRect/>
            </a:stretch>
          </xdr:blipFill>
          <xdr:spPr bwMode="auto">
            <a:xfrm>
              <a:off x="998220" y="2458820"/>
              <a:ext cx="6400800" cy="90160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548640</xdr:colOff>
      <xdr:row>19</xdr:row>
      <xdr:rowOff>0</xdr:rowOff>
    </xdr:from>
    <xdr:to>
      <xdr:col>11</xdr:col>
      <xdr:colOff>601980</xdr:colOff>
      <xdr:row>29</xdr:row>
      <xdr:rowOff>152400</xdr:rowOff>
    </xdr:to>
    <xdr:graphicFrame macro="">
      <xdr:nvGraphicFramePr>
        <xdr:cNvPr id="11" name="Chart 10">
          <a:extLst>
            <a:ext uri="{FF2B5EF4-FFF2-40B4-BE49-F238E27FC236}">
              <a16:creationId xmlns:a16="http://schemas.microsoft.com/office/drawing/2014/main" id="{F8292DA3-3B02-478D-B796-84175242A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251460</xdr:colOff>
      <xdr:row>28</xdr:row>
      <xdr:rowOff>137160</xdr:rowOff>
    </xdr:from>
    <xdr:to>
      <xdr:col>8</xdr:col>
      <xdr:colOff>289560</xdr:colOff>
      <xdr:row>29</xdr:row>
      <xdr:rowOff>175260</xdr:rowOff>
    </xdr:to>
    <xdr:sp macro="" textlink="">
      <xdr:nvSpPr>
        <xdr:cNvPr id="12" name="TextBox 11">
          <a:extLst>
            <a:ext uri="{FF2B5EF4-FFF2-40B4-BE49-F238E27FC236}">
              <a16:creationId xmlns:a16="http://schemas.microsoft.com/office/drawing/2014/main" id="{4A6D6361-CB97-FBDC-56C4-DFA5294A14DE}"/>
            </a:ext>
          </a:extLst>
        </xdr:cNvPr>
        <xdr:cNvSpPr txBox="1"/>
      </xdr:nvSpPr>
      <xdr:spPr>
        <a:xfrm>
          <a:off x="3299460" y="5257800"/>
          <a:ext cx="18669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No.</a:t>
          </a:r>
          <a:r>
            <a:rPr lang="en-IN" sz="1200" b="1" baseline="0"/>
            <a:t> of Patients By Age Group</a:t>
          </a:r>
          <a:endParaRPr lang="en-IN" sz="1200" b="1"/>
        </a:p>
      </xdr:txBody>
    </xdr:sp>
    <xdr:clientData/>
  </xdr:twoCellAnchor>
  <xdr:twoCellAnchor>
    <xdr:from>
      <xdr:col>12</xdr:col>
      <xdr:colOff>381000</xdr:colOff>
      <xdr:row>0</xdr:row>
      <xdr:rowOff>144780</xdr:rowOff>
    </xdr:from>
    <xdr:to>
      <xdr:col>16</xdr:col>
      <xdr:colOff>243840</xdr:colOff>
      <xdr:row>11</xdr:row>
      <xdr:rowOff>0</xdr:rowOff>
    </xdr:to>
    <xdr:graphicFrame macro="">
      <xdr:nvGraphicFramePr>
        <xdr:cNvPr id="13" name="Chart 12">
          <a:extLst>
            <a:ext uri="{FF2B5EF4-FFF2-40B4-BE49-F238E27FC236}">
              <a16:creationId xmlns:a16="http://schemas.microsoft.com/office/drawing/2014/main" id="{391C58A5-8530-4223-BFB3-9E9969A9A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22860</xdr:colOff>
      <xdr:row>11</xdr:row>
      <xdr:rowOff>76200</xdr:rowOff>
    </xdr:from>
    <xdr:to>
      <xdr:col>16</xdr:col>
      <xdr:colOff>198120</xdr:colOff>
      <xdr:row>12</xdr:row>
      <xdr:rowOff>152400</xdr:rowOff>
    </xdr:to>
    <xdr:sp macro="" textlink="">
      <xdr:nvSpPr>
        <xdr:cNvPr id="14" name="TextBox 13">
          <a:extLst>
            <a:ext uri="{FF2B5EF4-FFF2-40B4-BE49-F238E27FC236}">
              <a16:creationId xmlns:a16="http://schemas.microsoft.com/office/drawing/2014/main" id="{C0FC369B-5A0C-77C5-FBF5-C81DEB37B40C}"/>
            </a:ext>
          </a:extLst>
        </xdr:cNvPr>
        <xdr:cNvSpPr txBox="1"/>
      </xdr:nvSpPr>
      <xdr:spPr>
        <a:xfrm>
          <a:off x="7947660" y="2087880"/>
          <a:ext cx="20040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Patient</a:t>
          </a:r>
          <a:r>
            <a:rPr lang="en-IN" sz="1200" b="1" baseline="0"/>
            <a:t> Attented within Time</a:t>
          </a:r>
          <a:endParaRPr lang="en-IN" sz="1200" b="1"/>
        </a:p>
      </xdr:txBody>
    </xdr:sp>
    <xdr:clientData/>
  </xdr:twoCellAnchor>
  <xdr:twoCellAnchor>
    <xdr:from>
      <xdr:col>17</xdr:col>
      <xdr:colOff>259080</xdr:colOff>
      <xdr:row>11</xdr:row>
      <xdr:rowOff>45720</xdr:rowOff>
    </xdr:from>
    <xdr:to>
      <xdr:col>20</xdr:col>
      <xdr:colOff>114300</xdr:colOff>
      <xdr:row>12</xdr:row>
      <xdr:rowOff>121920</xdr:rowOff>
    </xdr:to>
    <xdr:sp macro="" textlink="">
      <xdr:nvSpPr>
        <xdr:cNvPr id="18" name="TextBox 17">
          <a:extLst>
            <a:ext uri="{FF2B5EF4-FFF2-40B4-BE49-F238E27FC236}">
              <a16:creationId xmlns:a16="http://schemas.microsoft.com/office/drawing/2014/main" id="{E3D47A95-CF6B-3B9F-49AE-282BD20EC4BE}"/>
            </a:ext>
          </a:extLst>
        </xdr:cNvPr>
        <xdr:cNvSpPr txBox="1"/>
      </xdr:nvSpPr>
      <xdr:spPr>
        <a:xfrm>
          <a:off x="10622280" y="2057400"/>
          <a:ext cx="16840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No</a:t>
          </a:r>
          <a:r>
            <a:rPr lang="en-IN" sz="1200" b="1" baseline="0"/>
            <a:t>. of Patients By Gender</a:t>
          </a:r>
          <a:endParaRPr lang="en-IN" sz="1200" b="1"/>
        </a:p>
      </xdr:txBody>
    </xdr:sp>
    <xdr:clientData/>
  </xdr:twoCellAnchor>
  <xdr:twoCellAnchor>
    <xdr:from>
      <xdr:col>16</xdr:col>
      <xdr:colOff>548640</xdr:colOff>
      <xdr:row>0</xdr:row>
      <xdr:rowOff>166077</xdr:rowOff>
    </xdr:from>
    <xdr:to>
      <xdr:col>20</xdr:col>
      <xdr:colOff>320040</xdr:colOff>
      <xdr:row>11</xdr:row>
      <xdr:rowOff>114300</xdr:rowOff>
    </xdr:to>
    <xdr:graphicFrame macro="">
      <xdr:nvGraphicFramePr>
        <xdr:cNvPr id="19" name="Chart 18">
          <a:extLst>
            <a:ext uri="{FF2B5EF4-FFF2-40B4-BE49-F238E27FC236}">
              <a16:creationId xmlns:a16="http://schemas.microsoft.com/office/drawing/2014/main" id="{E8EB1CD8-C568-F001-0E1F-36505B668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402897</xdr:colOff>
      <xdr:row>13</xdr:row>
      <xdr:rowOff>175260</xdr:rowOff>
    </xdr:from>
    <xdr:to>
      <xdr:col>20</xdr:col>
      <xdr:colOff>419100</xdr:colOff>
      <xdr:row>29</xdr:row>
      <xdr:rowOff>91440</xdr:rowOff>
    </xdr:to>
    <xdr:graphicFrame macro="">
      <xdr:nvGraphicFramePr>
        <xdr:cNvPr id="20" name="Chart 19">
          <a:extLst>
            <a:ext uri="{FF2B5EF4-FFF2-40B4-BE49-F238E27FC236}">
              <a16:creationId xmlns:a16="http://schemas.microsoft.com/office/drawing/2014/main" id="{0849838C-F4FA-4DE3-8758-CFC0DF860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xdr:col>
      <xdr:colOff>137160</xdr:colOff>
      <xdr:row>27</xdr:row>
      <xdr:rowOff>15240</xdr:rowOff>
    </xdr:from>
    <xdr:to>
      <xdr:col>20</xdr:col>
      <xdr:colOff>228600</xdr:colOff>
      <xdr:row>28</xdr:row>
      <xdr:rowOff>91440</xdr:rowOff>
    </xdr:to>
    <xdr:sp macro="" textlink="">
      <xdr:nvSpPr>
        <xdr:cNvPr id="21" name="TextBox 20">
          <a:extLst>
            <a:ext uri="{FF2B5EF4-FFF2-40B4-BE49-F238E27FC236}">
              <a16:creationId xmlns:a16="http://schemas.microsoft.com/office/drawing/2014/main" id="{D1385342-ACC7-ACD6-11DD-8B00947E2528}"/>
            </a:ext>
          </a:extLst>
        </xdr:cNvPr>
        <xdr:cNvSpPr txBox="1"/>
      </xdr:nvSpPr>
      <xdr:spPr>
        <a:xfrm>
          <a:off x="9890760" y="4953000"/>
          <a:ext cx="25298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No</a:t>
          </a:r>
          <a:r>
            <a:rPr lang="en-IN" sz="1200" b="1" baseline="0"/>
            <a:t>. of Patients By Department Referral</a:t>
          </a:r>
          <a:endParaRPr lang="en-IN" sz="1200" b="1"/>
        </a:p>
      </xdr:txBody>
    </xdr:sp>
    <xdr:clientData/>
  </xdr:twoCellAnchor>
  <xdr:twoCellAnchor editAs="oneCell">
    <xdr:from>
      <xdr:col>9</xdr:col>
      <xdr:colOff>8758</xdr:colOff>
      <xdr:row>2</xdr:row>
      <xdr:rowOff>0</xdr:rowOff>
    </xdr:from>
    <xdr:to>
      <xdr:col>12</xdr:col>
      <xdr:colOff>35034</xdr:colOff>
      <xdr:row>3</xdr:row>
      <xdr:rowOff>175172</xdr:rowOff>
    </xdr:to>
    <mc:AlternateContent xmlns:mc="http://schemas.openxmlformats.org/markup-compatibility/2006" xmlns:a14="http://schemas.microsoft.com/office/drawing/2010/main">
      <mc:Choice Requires="a14">
        <xdr:graphicFrame macro="">
          <xdr:nvGraphicFramePr>
            <xdr:cNvPr id="22" name="Date (Year) 1">
              <a:extLst>
                <a:ext uri="{FF2B5EF4-FFF2-40B4-BE49-F238E27FC236}">
                  <a16:creationId xmlns:a16="http://schemas.microsoft.com/office/drawing/2014/main" id="{768716DB-2903-469F-8A96-7BB1F642CA9B}"/>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5459989" y="371231"/>
              <a:ext cx="1843353" cy="3607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534802</xdr:colOff>
      <xdr:row>0</xdr:row>
      <xdr:rowOff>140139</xdr:rowOff>
    </xdr:from>
    <xdr:to>
      <xdr:col>11</xdr:col>
      <xdr:colOff>315310</xdr:colOff>
      <xdr:row>1</xdr:row>
      <xdr:rowOff>147848</xdr:rowOff>
    </xdr:to>
    <xdr:sp macro="" textlink="">
      <xdr:nvSpPr>
        <xdr:cNvPr id="23" name="TextBox 22">
          <a:extLst>
            <a:ext uri="{FF2B5EF4-FFF2-40B4-BE49-F238E27FC236}">
              <a16:creationId xmlns:a16="http://schemas.microsoft.com/office/drawing/2014/main" id="{DF725058-27C4-6E19-D10D-15B9339C5011}"/>
            </a:ext>
          </a:extLst>
        </xdr:cNvPr>
        <xdr:cNvSpPr txBox="1"/>
      </xdr:nvSpPr>
      <xdr:spPr>
        <a:xfrm>
          <a:off x="6052733" y="140139"/>
          <a:ext cx="1006715" cy="191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a:t>Select</a:t>
          </a:r>
          <a:r>
            <a:rPr lang="en-IN" sz="1400" b="1" baseline="0"/>
            <a:t> Year</a:t>
          </a:r>
          <a:endParaRPr lang="en-IN" sz="14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518160</xdr:colOff>
      <xdr:row>3</xdr:row>
      <xdr:rowOff>144780</xdr:rowOff>
    </xdr:from>
    <xdr:to>
      <xdr:col>14</xdr:col>
      <xdr:colOff>198120</xdr:colOff>
      <xdr:row>27</xdr:row>
      <xdr:rowOff>68580</xdr:rowOff>
    </xdr:to>
    <xdr:graphicFrame macro="">
      <xdr:nvGraphicFramePr>
        <xdr:cNvPr id="2" name="Chart 1">
          <a:extLst>
            <a:ext uri="{FF2B5EF4-FFF2-40B4-BE49-F238E27FC236}">
              <a16:creationId xmlns:a16="http://schemas.microsoft.com/office/drawing/2014/main" id="{D782313B-CD84-4537-AA84-9146D56D9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228600</xdr:colOff>
      <xdr:row>1</xdr:row>
      <xdr:rowOff>45720</xdr:rowOff>
    </xdr:from>
    <xdr:to>
      <xdr:col>1</xdr:col>
      <xdr:colOff>121920</xdr:colOff>
      <xdr:row>4</xdr:row>
      <xdr:rowOff>30480</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AFBE72AF-2B27-85C7-995A-DFE6CDBC456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8600" y="228600"/>
          <a:ext cx="502920" cy="533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137160</xdr:colOff>
      <xdr:row>3</xdr:row>
      <xdr:rowOff>68580</xdr:rowOff>
    </xdr:from>
    <xdr:to>
      <xdr:col>12</xdr:col>
      <xdr:colOff>563880</xdr:colOff>
      <xdr:row>23</xdr:row>
      <xdr:rowOff>152400</xdr:rowOff>
    </xdr:to>
    <xdr:graphicFrame macro="">
      <xdr:nvGraphicFramePr>
        <xdr:cNvPr id="2" name="Chart 1">
          <a:extLst>
            <a:ext uri="{FF2B5EF4-FFF2-40B4-BE49-F238E27FC236}">
              <a16:creationId xmlns:a16="http://schemas.microsoft.com/office/drawing/2014/main" id="{1AE94664-B0AB-407B-8712-9DF2D5DEF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259080</xdr:colOff>
      <xdr:row>0</xdr:row>
      <xdr:rowOff>45720</xdr:rowOff>
    </xdr:from>
    <xdr:to>
      <xdr:col>1</xdr:col>
      <xdr:colOff>0</xdr:colOff>
      <xdr:row>2</xdr:row>
      <xdr:rowOff>0</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A4DDDE08-80C7-33F4-A0B1-EF380D549F8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9080" y="45720"/>
          <a:ext cx="350520" cy="3200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419100</xdr:colOff>
      <xdr:row>3</xdr:row>
      <xdr:rowOff>137160</xdr:rowOff>
    </xdr:from>
    <xdr:to>
      <xdr:col>15</xdr:col>
      <xdr:colOff>38100</xdr:colOff>
      <xdr:row>23</xdr:row>
      <xdr:rowOff>152400</xdr:rowOff>
    </xdr:to>
    <xdr:graphicFrame macro="">
      <xdr:nvGraphicFramePr>
        <xdr:cNvPr id="2" name="Chart 1">
          <a:extLst>
            <a:ext uri="{FF2B5EF4-FFF2-40B4-BE49-F238E27FC236}">
              <a16:creationId xmlns:a16="http://schemas.microsoft.com/office/drawing/2014/main" id="{30F0EC61-0098-4F7B-9D50-7A0BA206A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480060</xdr:colOff>
      <xdr:row>0</xdr:row>
      <xdr:rowOff>60960</xdr:rowOff>
    </xdr:from>
    <xdr:to>
      <xdr:col>1</xdr:col>
      <xdr:colOff>350520</xdr:colOff>
      <xdr:row>2</xdr:row>
      <xdr:rowOff>160020</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3E4C25B2-7152-EFD6-6914-6BAF17685E7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80060" y="60960"/>
          <a:ext cx="480060" cy="4648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rhan Imam" refreshedDate="46048.552392361111" createdVersion="5" refreshedVersion="8" minRefreshableVersion="3" recordCount="0" supportSubquery="1" supportAdvancedDrill="1" xr:uid="{1C705835-0D40-4EE2-97D3-A5D2482F56CD}">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rhan Imam" refreshedDate="46048.552392708334" createdVersion="5" refreshedVersion="8" minRefreshableVersion="3" recordCount="0" supportSubquery="1" supportAdvancedDrill="1" xr:uid="{724C4F45-CDD9-4E99-8FF7-65212B94CF38}">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rhan Imam" refreshedDate="46048.552392824073" createdVersion="5" refreshedVersion="8" minRefreshableVersion="3" recordCount="0" supportSubquery="1" supportAdvancedDrill="1" xr:uid="{AA915F8F-F6BF-4946-BE35-B30639C3709C}">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rhan Imam" refreshedDate="46048.552393055557" createdVersion="5" refreshedVersion="8" minRefreshableVersion="3" recordCount="0" supportSubquery="1" supportAdvancedDrill="1" xr:uid="{07593AB5-F8CD-4BA8-B23D-1AAF8F3B6FD6}">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rhan Imam" refreshedDate="46048.552393634258" createdVersion="5" refreshedVersion="8" minRefreshableVersion="3" recordCount="0" supportSubquery="1" supportAdvancedDrill="1" xr:uid="{E1278017-DB9E-43C3-97E1-04B25203026F}">
  <cacheSource type="external" connectionId="3"/>
  <cacheFields count="4">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Measures].[Sum of Patient Waittime]" caption="Sum of Patient Waittime" numFmtId="0" hierarchy="25"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rhan Imam" refreshedDate="46048.55239409722" createdVersion="5" refreshedVersion="8" minRefreshableVersion="3" recordCount="0" supportSubquery="1" supportAdvancedDrill="1" xr:uid="{3A73FDD0-7EF3-44C8-AFDE-D46E2E6E75BB}">
  <cacheSource type="external" connectionId="3"/>
  <cacheFields count="4">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Measures].[Sum of Patient Satisfaction Score]" caption="Sum of Patient Satisfaction Score" numFmtId="0" hierarchy="27"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rhan Imam" refreshedDate="46048.552394560182" createdVersion="5" refreshedVersion="8" minRefreshableVersion="3" recordCount="0" supportSubquery="1" supportAdvancedDrill="1" xr:uid="{46FBA095-5DF4-4EC9-9DD5-02053A318122}">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e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rhan Imam" refreshedDate="46048.552395023151" createdVersion="5" refreshedVersion="8" minRefreshableVersion="3" recordCount="0" supportSubquery="1" supportAdvancedDrill="1" xr:uid="{2354AD4B-B68D-4B0D-AF95-3166BA5E5BDF}">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2"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rhan Imam" refreshedDate="46048.552395601851" createdVersion="5" refreshedVersion="8" minRefreshableVersion="3" recordCount="0" supportSubquery="1" supportAdvancedDrill="1" xr:uid="{04CAE5D7-87C3-4FA0-A918-3DBDEE93C5BC}">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3"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rhan Imam" refreshedDate="46048.552396064813" createdVersion="5" refreshedVersion="8" minRefreshableVersion="3" recordCount="0" supportSubquery="1" supportAdvancedDrill="1" xr:uid="{E4F5BE65-5041-4477-9B59-818334880F5E}">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rhan Imam" refreshedDate="46048.552396643521" createdVersion="5" refreshedVersion="8" minRefreshableVersion="3" recordCount="0" supportSubquery="1" supportAdvancedDrill="1" xr:uid="{6DBC6F1B-F3D2-480A-BAD0-8E687EE29228}">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rhan Imam" refreshedDate="46048.552397106483" createdVersion="5" refreshedVersion="8" minRefreshableVersion="3" recordCount="0" supportSubquery="1" supportAdvancedDrill="1" xr:uid="{71DAFC9C-CECB-4156-B66F-D10FA9533FE8}">
  <cacheSource type="external" connectionId="3"/>
  <cacheFields count="4">
    <cacheField name="[Calender_Table].[Date (Month)].[Date (Month)]" caption="Date (Month)" numFmtId="0" hierarchy="1" level="1">
      <sharedItems count="1">
        <s v="Oct"/>
      </sharedItems>
    </cacheField>
    <cacheField name="[Calender_Table].[Date].[Date]" caption="Date" numFmtId="0" level="1">
      <sharedItems containsSemiMixedTypes="0" containsNonDate="0" containsDate="1" containsString="0" minDate="2023-10-01T00:00:00" maxDate="2024-11-01T00:00:00" count="62">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sharedItems>
    </cacheField>
    <cacheField name="[Calender_Table].[Date (Quarter)].[Date (Quarter)]" caption="Date (Quarter)" numFmtId="0" hierarchy="4" level="1">
      <sharedItems count="1">
        <s v="Qtr4"/>
      </sharedItems>
    </cacheField>
    <cacheField name="[Calender_Table].[Date (Year)].[Date (Year)]" caption="Date (Year)" numFmtId="0" hierarchy="3" level="1">
      <sharedItems count="1">
        <s v="2023"/>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rhan Imam" refreshedDate="46037.966149884262" createdVersion="3" refreshedVersion="8" minRefreshableVersion="3" recordCount="0" supportSubquery="1" supportAdvancedDrill="1" xr:uid="{AA3310F7-6F13-48CF-97AB-03F66C42CBC4}">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9920472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86FF34-C3F2-4F74-AC64-E085B88FDF28}" name="PivotTable7" cacheId="1344" applyNumberFormats="0" applyBorderFormats="0" applyFontFormats="0" applyPatternFormats="0" applyAlignmentFormats="0" applyWidthHeightFormats="1" dataCaption="Values" tag="b34754df-fd88-4b5a-95e8-6948eae42b2d" updatedVersion="8" minRefreshableVersion="3" subtotalHiddenItems="1" itemPrintTitles="1" createdVersion="5" indent="0" outline="1" outlineData="1" multipleFieldFilters="0" chartFormat="4">
  <location ref="A24:C2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5">
    <format dxfId="1003">
      <pivotArea type="all" dataOnly="0" outline="0" fieldPosition="0"/>
    </format>
    <format dxfId="1002">
      <pivotArea outline="0" collapsedLevelsAreSubtotals="1" fieldPosition="0"/>
    </format>
    <format dxfId="1001">
      <pivotArea dataOnly="0" labelOnly="1" outline="0" axis="axisValues" fieldPosition="0"/>
    </format>
    <format dxfId="1000">
      <pivotArea collapsedLevelsAreSubtotals="1" fieldPosition="0">
        <references count="1">
          <reference field="1" count="0"/>
        </references>
      </pivotArea>
    </format>
    <format dxfId="999">
      <pivotArea outline="0" fieldPosition="0">
        <references count="1">
          <reference field="4294967294" count="1">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Average Patient Satisfaction Score"/>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70632E-9199-43D9-9407-A0FC32F04980}" name="PivotTable5" cacheId="1338" applyNumberFormats="0" applyBorderFormats="0" applyFontFormats="0" applyPatternFormats="0" applyAlignmentFormats="0" applyWidthHeightFormats="1" dataCaption="Values" tag="a437687f-5738-4ab5-b999-30379a0fa8f1" updatedVersion="8" minRefreshableVersion="3" subtotalHiddenItems="1" itemPrintTitles="1" createdVersion="5" indent="0" outline="1" outlineData="1" multipleFieldFilters="0" chartFormat="24">
  <location ref="I4:J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Patient Waittime" fld="2" baseField="0" baseItem="0"/>
  </dataFields>
  <chartFormats count="4">
    <chartFormat chart="15" format="0"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574C08-F445-4AA8-B198-27133445300A}" name="PivotTable3" cacheId="1335" applyNumberFormats="0" applyBorderFormats="0" applyFontFormats="0" applyPatternFormats="0" applyAlignmentFormats="0" applyWidthHeightFormats="1" dataCaption="Values" tag="29d47365-0fe3-4a64-b1da-cb9fc4219910"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3">
    <format dxfId="1006">
      <pivotArea type="all" dataOnly="0" outline="0" fieldPosition="0"/>
    </format>
    <format dxfId="1005">
      <pivotArea outline="0" collapsedLevelsAreSubtotals="1" fieldPosition="0"/>
    </format>
    <format dxfId="1004">
      <pivotArea dataOnly="0" labelOnly="1" outline="0" axis="axisValues" fieldPosition="0"/>
    </format>
  </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Average Patient Satisfaction Score"/>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EFF2D6-1062-4C38-9AE5-E0A90BC72442}" name="PivotTable2" cacheId="1332" applyNumberFormats="0" applyBorderFormats="0" applyFontFormats="0" applyPatternFormats="0" applyAlignmentFormats="0" applyWidthHeightFormats="1" dataCaption="Values" tag="95f20ab6-7bfd-4d76-a42f-c94c707886d1"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43"/>
  </dataFields>
  <formats count="3">
    <format dxfId="1009">
      <pivotArea type="all" dataOnly="0" outline="0" fieldPosition="0"/>
    </format>
    <format dxfId="1008">
      <pivotArea outline="0" collapsedLevelsAreSubtotals="1" fieldPosition="0"/>
    </format>
    <format dxfId="1007">
      <pivotArea dataOnly="0" labelOnly="1" outline="0" axis="axisValues" fieldPosition="0"/>
    </format>
  </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2FA50A-6DA4-469A-B49F-C9EFD1DF27A2}" name="PivotTable6" cacheId="1341" applyNumberFormats="0" applyBorderFormats="0" applyFontFormats="0" applyPatternFormats="0" applyAlignmentFormats="0" applyWidthHeightFormats="1" dataCaption="Values" tag="c985057f-13fb-48a7-9873-29c02e71ccf6" updatedVersion="8" minRefreshableVersion="3" subtotalHiddenItems="1" itemPrintTitles="1" createdVersion="5" indent="0" outline="1" outlineData="1" multipleFieldFilters="0" chartFormat="35">
  <location ref="L4:M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Patient Satisfaction Score" fld="2" baseField="0" baseItem="0"/>
  </dataFields>
  <chartFormats count="3">
    <chartFormat chart="27"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08B576-7EAD-4EB2-8CBA-8F200B2AA823}" name="PivotTable1" cacheId="1329" applyNumberFormats="0" applyBorderFormats="0" applyFontFormats="0" applyPatternFormats="0" applyAlignmentFormats="0" applyWidthHeightFormats="1" dataCaption="Values" tag="3771af48-c3c4-41a8-88ae-2e2a47b06320"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FF2742-7A03-4DAA-9B28-86F3F820FF53}" name="PivotTable11" cacheId="1356" applyNumberFormats="0" applyBorderFormats="0" applyFontFormats="0" applyPatternFormats="0" applyAlignmentFormats="0" applyWidthHeightFormats="1" dataCaption="Values" tag="30ab029a-9caf-46d3-9862-b60fe8c611a1" updatedVersion="8" minRefreshableVersion="3" subtotalHiddenItems="1" rowGrandTotals="0" colGrandTotals="0" itemPrintTitles="1" createdVersion="5" indent="0" outline="1" outlineData="1" multipleFieldFilters="0" chartFormat="18">
  <location ref="E54:F6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8">
    <i>
      <x v="7"/>
    </i>
    <i>
      <x v="3"/>
    </i>
    <i>
      <x v="6"/>
    </i>
    <i>
      <x v="1"/>
    </i>
    <i>
      <x/>
    </i>
    <i>
      <x v="5"/>
    </i>
    <i>
      <x v="2"/>
    </i>
    <i>
      <x v="4"/>
    </i>
  </rowItems>
  <colItems count="1">
    <i/>
  </colItems>
  <dataFields count="1">
    <dataField name="Count of Department Referral" fld="2" subtotal="count" baseField="0" baseItem="0"/>
  </dataFields>
  <formats count="3">
    <format dxfId="1012">
      <pivotArea type="all" dataOnly="0" outline="0" fieldPosition="0"/>
    </format>
    <format dxfId="1011">
      <pivotArea outline="0" collapsedLevelsAreSubtotals="1" fieldPosition="0"/>
    </format>
    <format dxfId="1010">
      <pivotArea dataOnly="0" labelOnly="1" outline="0" axis="axisValues" fieldPosition="0"/>
    </format>
  </formats>
  <chartFormats count="3">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Average Patient Satisfaction Score"/>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587995-9214-43DB-8316-56B52594D706}" name="PivotTable8" cacheId="1347" applyNumberFormats="0" applyBorderFormats="0" applyFontFormats="0" applyPatternFormats="0" applyAlignmentFormats="0" applyWidthHeightFormats="1" dataCaption="Values" tag="0e221a89-1658-432a-a7e1-6a28045b76c9" updatedVersion="8" minRefreshableVersion="3" subtotalHiddenItems="1" rowGrandTotals="0" colGrandTotals="0" itemPrintTitles="1" createdVersion="5" indent="0" outline="1" outlineData="1" multipleFieldFilters="0" chartFormat="7">
  <location ref="A41:B4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x v="7"/>
    </i>
  </rowItems>
  <colItems count="1">
    <i/>
  </colItems>
  <dataFields count="1">
    <dataField name="Count of Age Group" fld="2" subtotal="count" baseField="0" baseItem="0"/>
  </dataFields>
  <formats count="4">
    <format dxfId="1016">
      <pivotArea type="all" dataOnly="0" outline="0" fieldPosition="0"/>
    </format>
    <format dxfId="1015">
      <pivotArea outline="0" collapsedLevelsAreSubtotals="1" fieldPosition="0"/>
    </format>
    <format dxfId="1014">
      <pivotArea dataOnly="0" labelOnly="1" outline="0" axis="axisValues" fieldPosition="0"/>
    </format>
    <format dxfId="1013">
      <pivotArea collapsedLevelsAreSubtotals="1" fieldPosition="0">
        <references count="1">
          <reference field="1" count="0"/>
        </references>
      </pivotArea>
    </format>
  </formats>
  <chartFormats count="1">
    <chartFormat chart="6"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Average Patient Satisfaction Score"/>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7AB545-6EF2-4D77-A444-568EAFB9E86C}" name="PivotTable12" cacheId="1359" applyNumberFormats="0" applyBorderFormats="0" applyFontFormats="0" applyPatternFormats="0" applyAlignmentFormats="0" applyWidthHeightFormats="1" dataCaption="Values" tag="acb6ab23-c9c4-4c95-a007-fb82715d1b23" updatedVersion="8" minRefreshableVersion="3" subtotalHiddenItems="1" rowGrandTotals="0" colGrandTotals="0" itemPrintTitles="1" createdVersion="5" indent="0" outline="1" outlineData="1" multipleFieldFilters="0" chartFormat="16">
  <location ref="G46:G47"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1">
    <i>
      <x/>
    </i>
  </rowItems>
  <formats count="3">
    <format dxfId="1019">
      <pivotArea type="all" dataOnly="0" outline="0" fieldPosition="0"/>
    </format>
    <format dxfId="1018">
      <pivotArea outline="0" collapsedLevelsAreSubtotals="1" fieldPosition="0"/>
    </format>
    <format dxfId="1017">
      <pivotArea dataOnly="0" labelOnly="1" outline="0" axis="axisValues" fieldPosition="0"/>
    </format>
  </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Average Patient Satisfaction Score"/>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E91AFC-1270-424E-BC56-021272B38260}" name="PivotTable9" cacheId="1350" applyNumberFormats="0" applyBorderFormats="0" applyFontFormats="0" applyPatternFormats="0" applyAlignmentFormats="0" applyWidthHeightFormats="1" dataCaption="Values" tag="1797ebdb-8425-403d-be6f-b037646a5f0a" updatedVersion="8" minRefreshableVersion="3" subtotalHiddenItems="1" rowGrandTotals="0" colGrandTotals="0" itemPrintTitles="1" createdVersion="5" indent="0" outline="1" outlineData="1" multipleFieldFilters="0" chartFormat="16">
  <location ref="A54:B5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2">
    <i>
      <x/>
    </i>
    <i>
      <x v="1"/>
    </i>
  </rowItems>
  <colItems count="1">
    <i/>
  </colItems>
  <dataFields count="1">
    <dataField name="Count of Patient Attend Status" fld="2" subtotal="count" baseField="0" baseItem="0"/>
  </dataFields>
  <formats count="3">
    <format dxfId="1022">
      <pivotArea type="all" dataOnly="0" outline="0" fieldPosition="0"/>
    </format>
    <format dxfId="1021">
      <pivotArea outline="0" collapsedLevelsAreSubtotals="1" fieldPosition="0"/>
    </format>
    <format dxfId="1020">
      <pivotArea dataOnly="0" labelOnly="1" outline="0" axis="axisValues"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Average Patient Satisfaction Score"/>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13124E6-453E-4C3F-9B13-A1DB999A201F}" name="PivotTable10" cacheId="1353" applyNumberFormats="0" applyBorderFormats="0" applyFontFormats="0" applyPatternFormats="0" applyAlignmentFormats="0" applyWidthHeightFormats="1" dataCaption="Values" tag="55f4151e-f648-4656-b399-ddd0b7fa8066" updatedVersion="8" minRefreshableVersion="3" subtotalHiddenItems="1" rowGrandTotals="0" colGrandTotals="0" itemPrintTitles="1" createdVersion="5" indent="0" outline="1" outlineData="1" multipleFieldFilters="0" chartFormat="18">
  <location ref="D46:E4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2">
    <i>
      <x/>
    </i>
    <i>
      <x v="1"/>
    </i>
  </rowItems>
  <colItems count="1">
    <i/>
  </colItems>
  <dataFields count="1">
    <dataField name="Count of Patient Gender" fld="2" subtotal="count" baseField="0" baseItem="0"/>
  </dataFields>
  <formats count="3">
    <format dxfId="1025">
      <pivotArea type="all" dataOnly="0" outline="0" fieldPosition="0"/>
    </format>
    <format dxfId="1024">
      <pivotArea outline="0" collapsedLevelsAreSubtotals="1" fieldPosition="0"/>
    </format>
    <format dxfId="1023">
      <pivotArea dataOnly="0" labelOnly="1" outline="0" axis="axisValues" fieldPosition="0"/>
    </format>
  </formats>
  <chartFormats count="3">
    <chartFormat chart="14" format="9" series="1">
      <pivotArea type="data" outline="0" fieldPosition="0">
        <references count="1">
          <reference field="4294967294" count="1" selected="0">
            <x v="0"/>
          </reference>
        </references>
      </pivotArea>
    </chartFormat>
    <chartFormat chart="14" format="10">
      <pivotArea type="data" outline="0" fieldPosition="0">
        <references count="2">
          <reference field="4294967294" count="1" selected="0">
            <x v="0"/>
          </reference>
          <reference field="1" count="1" selected="0">
            <x v="0"/>
          </reference>
        </references>
      </pivotArea>
    </chartFormat>
    <chartFormat chart="14" format="11">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Average Patient Satisfaction Score"/>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FC5BFA5-563F-4CAE-B5F8-8B8BCCC201C4}" name="PivotTable4" cacheId="1326" applyNumberFormats="0" applyBorderFormats="0" applyFontFormats="0" applyPatternFormats="0" applyAlignmentFormats="0" applyWidthHeightFormats="1" dataCaption="Values" tag="6d2bbdad-dbd8-4389-a83f-88c50d33324d" updatedVersion="8" minRefreshableVersion="3" subtotalHiddenItems="1" itemPrintTitles="1" createdVersion="5" indent="0" outline="1" outlineData="1" multipleFieldFilters="0" chartFormat="15">
  <location ref="E4:F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3">
    <format>
      <pivotArea field="1" type="button" dataOnly="0" labelOnly="1" outline="0" axis="axisRow" fieldPosition="0"/>
    </format>
    <format>
      <pivotArea dataOnly="0" labelOnly="1" fieldPosition="0">
        <references count="1">
          <reference field="1" count="0"/>
        </references>
      </pivotArea>
    </format>
    <format>
      <pivotArea dataOnly="0" labelOnly="1" grandRow="1" outline="0" fieldPosition="0"/>
    </format>
  </formats>
  <chartFormats count="3">
    <chartFormat chart="5"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754F824D-2B7B-4CE8-A499-922AECBC24CC}"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992047245">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6DCF13A-6908-4378-A9E1-8AE66CDF1B86}"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992047245">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161E4350-80FB-4617-B8C7-29BF7E110ED7}" cache="Slicer_Date__Month" caption="Date (Month)" showCaption="0" level="1" style="my slicer desgin" rowHeight="324000"/>
  <slicer name="Date (Year) 1" xr10:uid="{893A29FC-1DDC-4F95-8F97-F0D641D61727}" cache="Slicer_Date__Year" caption="Date (Year)" columnCount="2" showCaption="0" level="1" style="my slicer desgi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8CDE0-6F93-43DB-8AA4-72EFAE7C8A9A}">
  <dimension ref="A4:M62"/>
  <sheetViews>
    <sheetView workbookViewId="0">
      <selection activeCell="E40" sqref="E40"/>
    </sheetView>
  </sheetViews>
  <sheetFormatPr defaultRowHeight="14.4" x14ac:dyDescent="0.3"/>
  <cols>
    <col min="1" max="1" width="16" customWidth="1"/>
    <col min="2" max="2" width="29" bestFit="1" customWidth="1"/>
    <col min="3" max="3" width="14.6640625" customWidth="1"/>
    <col min="4" max="4" width="19.109375" customWidth="1"/>
    <col min="5" max="6" width="23.88671875" bestFit="1" customWidth="1"/>
    <col min="9" max="9" width="12.5546875" bestFit="1" customWidth="1"/>
    <col min="10" max="10" width="23.88671875" bestFit="1" customWidth="1"/>
    <col min="12" max="12" width="12.5546875" bestFit="1" customWidth="1"/>
    <col min="13" max="13" width="21.88671875" bestFit="1" customWidth="1"/>
  </cols>
  <sheetData>
    <row r="4" spans="1:13" x14ac:dyDescent="0.3">
      <c r="A4" t="s">
        <v>2</v>
      </c>
      <c r="E4" s="1" t="s">
        <v>0</v>
      </c>
      <c r="F4" t="s">
        <v>2</v>
      </c>
      <c r="I4" s="1" t="s">
        <v>0</v>
      </c>
      <c r="J4" t="s">
        <v>3</v>
      </c>
      <c r="L4" s="1" t="s">
        <v>0</v>
      </c>
      <c r="M4" t="s">
        <v>5</v>
      </c>
    </row>
    <row r="5" spans="1:13" x14ac:dyDescent="0.3">
      <c r="A5" s="16">
        <v>479</v>
      </c>
      <c r="E5" s="2" t="s">
        <v>39</v>
      </c>
      <c r="F5" s="16">
        <v>19</v>
      </c>
      <c r="I5" s="2" t="s">
        <v>39</v>
      </c>
      <c r="J5" s="16">
        <v>769</v>
      </c>
      <c r="L5" s="2" t="s">
        <v>39</v>
      </c>
      <c r="M5" s="16">
        <v>19</v>
      </c>
    </row>
    <row r="6" spans="1:13" x14ac:dyDescent="0.3">
      <c r="E6" s="2" t="s">
        <v>40</v>
      </c>
      <c r="F6" s="16">
        <v>13</v>
      </c>
      <c r="I6" s="2" t="s">
        <v>40</v>
      </c>
      <c r="J6" s="16">
        <v>383</v>
      </c>
      <c r="L6" s="2" t="s">
        <v>40</v>
      </c>
      <c r="M6" s="16">
        <v>31</v>
      </c>
    </row>
    <row r="7" spans="1:13" x14ac:dyDescent="0.3">
      <c r="E7" s="2" t="s">
        <v>41</v>
      </c>
      <c r="F7" s="16">
        <v>14</v>
      </c>
      <c r="I7" s="2" t="s">
        <v>41</v>
      </c>
      <c r="J7" s="16">
        <v>475</v>
      </c>
      <c r="L7" s="2" t="s">
        <v>41</v>
      </c>
      <c r="M7" s="16">
        <v>23</v>
      </c>
    </row>
    <row r="8" spans="1:13" x14ac:dyDescent="0.3">
      <c r="A8" s="3" t="s">
        <v>4</v>
      </c>
      <c r="E8" s="2" t="s">
        <v>42</v>
      </c>
      <c r="F8" s="16">
        <v>9</v>
      </c>
      <c r="I8" s="2" t="s">
        <v>42</v>
      </c>
      <c r="J8" s="16">
        <v>290</v>
      </c>
      <c r="L8" s="2" t="s">
        <v>42</v>
      </c>
      <c r="M8" s="16">
        <v>6</v>
      </c>
    </row>
    <row r="9" spans="1:13" x14ac:dyDescent="0.3">
      <c r="A9" s="3">
        <v>34.90187891440501</v>
      </c>
      <c r="E9" s="2" t="s">
        <v>43</v>
      </c>
      <c r="F9" s="16">
        <v>19</v>
      </c>
      <c r="I9" s="2" t="s">
        <v>43</v>
      </c>
      <c r="J9" s="16">
        <v>679</v>
      </c>
      <c r="L9" s="2" t="s">
        <v>43</v>
      </c>
      <c r="M9" s="16">
        <v>39</v>
      </c>
    </row>
    <row r="10" spans="1:13" x14ac:dyDescent="0.3">
      <c r="E10" s="2" t="s">
        <v>44</v>
      </c>
      <c r="F10" s="16">
        <v>14</v>
      </c>
      <c r="I10" s="2" t="s">
        <v>44</v>
      </c>
      <c r="J10" s="16">
        <v>422</v>
      </c>
      <c r="L10" s="2" t="s">
        <v>44</v>
      </c>
      <c r="M10" s="16">
        <v>8</v>
      </c>
    </row>
    <row r="11" spans="1:13" x14ac:dyDescent="0.3">
      <c r="E11" s="2" t="s">
        <v>45</v>
      </c>
      <c r="F11" s="16">
        <v>11</v>
      </c>
      <c r="I11" s="2" t="s">
        <v>45</v>
      </c>
      <c r="J11" s="16">
        <v>372</v>
      </c>
      <c r="L11" s="2" t="s">
        <v>45</v>
      </c>
      <c r="M11" s="16">
        <v>8</v>
      </c>
    </row>
    <row r="12" spans="1:13" x14ac:dyDescent="0.3">
      <c r="A12" s="3" t="s">
        <v>6</v>
      </c>
      <c r="E12" s="2" t="s">
        <v>46</v>
      </c>
      <c r="F12" s="16">
        <v>22</v>
      </c>
      <c r="I12" s="2" t="s">
        <v>46</v>
      </c>
      <c r="J12" s="16">
        <v>697</v>
      </c>
      <c r="L12" s="2" t="s">
        <v>46</v>
      </c>
      <c r="M12" s="16">
        <v>24</v>
      </c>
    </row>
    <row r="13" spans="1:13" x14ac:dyDescent="0.3">
      <c r="A13" s="3">
        <v>5.3034482758620687</v>
      </c>
      <c r="E13" s="2" t="s">
        <v>47</v>
      </c>
      <c r="F13" s="16">
        <v>12</v>
      </c>
      <c r="I13" s="2" t="s">
        <v>47</v>
      </c>
      <c r="J13" s="16">
        <v>437</v>
      </c>
      <c r="L13" s="2" t="s">
        <v>47</v>
      </c>
      <c r="M13" s="16">
        <v>21</v>
      </c>
    </row>
    <row r="14" spans="1:13" x14ac:dyDescent="0.3">
      <c r="E14" s="2" t="s">
        <v>48</v>
      </c>
      <c r="F14" s="16">
        <v>13</v>
      </c>
      <c r="I14" s="2" t="s">
        <v>48</v>
      </c>
      <c r="J14" s="16">
        <v>438</v>
      </c>
      <c r="L14" s="2" t="s">
        <v>48</v>
      </c>
      <c r="M14" s="16">
        <v>42</v>
      </c>
    </row>
    <row r="15" spans="1:13" x14ac:dyDescent="0.3">
      <c r="E15" s="2" t="s">
        <v>49</v>
      </c>
      <c r="F15" s="16">
        <v>17</v>
      </c>
      <c r="I15" s="2" t="s">
        <v>49</v>
      </c>
      <c r="J15" s="16">
        <v>665</v>
      </c>
      <c r="L15" s="2" t="s">
        <v>49</v>
      </c>
      <c r="M15" s="16">
        <v>26</v>
      </c>
    </row>
    <row r="16" spans="1:13" x14ac:dyDescent="0.3">
      <c r="E16" s="2" t="s">
        <v>50</v>
      </c>
      <c r="F16" s="16">
        <v>30</v>
      </c>
      <c r="I16" s="2" t="s">
        <v>50</v>
      </c>
      <c r="J16" s="16">
        <v>1108</v>
      </c>
      <c r="L16" s="2" t="s">
        <v>50</v>
      </c>
      <c r="M16" s="16">
        <v>23</v>
      </c>
    </row>
    <row r="17" spans="1:13" x14ac:dyDescent="0.3">
      <c r="E17" s="2" t="s">
        <v>51</v>
      </c>
      <c r="F17" s="16">
        <v>13</v>
      </c>
      <c r="I17" s="2" t="s">
        <v>51</v>
      </c>
      <c r="J17" s="16">
        <v>389</v>
      </c>
      <c r="L17" s="2" t="s">
        <v>51</v>
      </c>
      <c r="M17" s="16">
        <v>28</v>
      </c>
    </row>
    <row r="18" spans="1:13" x14ac:dyDescent="0.3">
      <c r="E18" s="2" t="s">
        <v>52</v>
      </c>
      <c r="F18" s="16">
        <v>21</v>
      </c>
      <c r="I18" s="2" t="s">
        <v>52</v>
      </c>
      <c r="J18" s="16">
        <v>665</v>
      </c>
      <c r="L18" s="2" t="s">
        <v>52</v>
      </c>
      <c r="M18" s="16">
        <v>39</v>
      </c>
    </row>
    <row r="19" spans="1:13" x14ac:dyDescent="0.3">
      <c r="E19" s="2" t="s">
        <v>53</v>
      </c>
      <c r="F19" s="16">
        <v>12</v>
      </c>
      <c r="I19" s="2" t="s">
        <v>53</v>
      </c>
      <c r="J19" s="16">
        <v>483</v>
      </c>
      <c r="L19" s="2" t="s">
        <v>53</v>
      </c>
      <c r="M19" s="16">
        <v>17</v>
      </c>
    </row>
    <row r="20" spans="1:13" x14ac:dyDescent="0.3">
      <c r="E20" s="2" t="s">
        <v>54</v>
      </c>
      <c r="F20" s="16">
        <v>17</v>
      </c>
      <c r="I20" s="2" t="s">
        <v>54</v>
      </c>
      <c r="J20" s="16">
        <v>510</v>
      </c>
      <c r="L20" s="2" t="s">
        <v>54</v>
      </c>
      <c r="M20" s="16">
        <v>34</v>
      </c>
    </row>
    <row r="21" spans="1:13" x14ac:dyDescent="0.3">
      <c r="E21" s="2" t="s">
        <v>55</v>
      </c>
      <c r="F21" s="16">
        <v>16</v>
      </c>
      <c r="I21" s="2" t="s">
        <v>55</v>
      </c>
      <c r="J21" s="16">
        <v>560</v>
      </c>
      <c r="L21" s="2" t="s">
        <v>55</v>
      </c>
      <c r="M21" s="16">
        <v>29</v>
      </c>
    </row>
    <row r="22" spans="1:13" x14ac:dyDescent="0.3">
      <c r="E22" s="2" t="s">
        <v>56</v>
      </c>
      <c r="F22" s="16">
        <v>20</v>
      </c>
      <c r="I22" s="2" t="s">
        <v>56</v>
      </c>
      <c r="J22" s="16">
        <v>837</v>
      </c>
      <c r="L22" s="2" t="s">
        <v>56</v>
      </c>
      <c r="M22" s="16">
        <v>28</v>
      </c>
    </row>
    <row r="23" spans="1:13" x14ac:dyDescent="0.3">
      <c r="E23" s="2" t="s">
        <v>57</v>
      </c>
      <c r="F23" s="16">
        <v>18</v>
      </c>
      <c r="I23" s="2" t="s">
        <v>57</v>
      </c>
      <c r="J23" s="16">
        <v>599</v>
      </c>
      <c r="L23" s="2" t="s">
        <v>57</v>
      </c>
      <c r="M23" s="16">
        <v>29</v>
      </c>
    </row>
    <row r="24" spans="1:13" x14ac:dyDescent="0.3">
      <c r="A24" s="5" t="s">
        <v>0</v>
      </c>
      <c r="B24" s="3" t="s">
        <v>7</v>
      </c>
      <c r="C24" s="3" t="s">
        <v>10</v>
      </c>
      <c r="D24" s="3"/>
      <c r="E24" s="2" t="s">
        <v>58</v>
      </c>
      <c r="F24" s="16">
        <v>16</v>
      </c>
      <c r="I24" s="2" t="s">
        <v>58</v>
      </c>
      <c r="J24" s="16">
        <v>527</v>
      </c>
      <c r="L24" s="2" t="s">
        <v>58</v>
      </c>
      <c r="M24" s="16">
        <v>14</v>
      </c>
    </row>
    <row r="25" spans="1:13" x14ac:dyDescent="0.3">
      <c r="A25" s="6" t="s">
        <v>8</v>
      </c>
      <c r="B25" s="7">
        <v>237</v>
      </c>
      <c r="C25" s="8">
        <v>0.49478079331941544</v>
      </c>
      <c r="D25" s="8"/>
      <c r="E25" s="2" t="s">
        <v>59</v>
      </c>
      <c r="F25" s="16">
        <v>15</v>
      </c>
      <c r="I25" s="2" t="s">
        <v>59</v>
      </c>
      <c r="J25" s="16">
        <v>499</v>
      </c>
      <c r="L25" s="2" t="s">
        <v>59</v>
      </c>
      <c r="M25" s="16">
        <v>18</v>
      </c>
    </row>
    <row r="26" spans="1:13" x14ac:dyDescent="0.3">
      <c r="A26" s="6" t="s">
        <v>9</v>
      </c>
      <c r="B26" s="7">
        <v>242</v>
      </c>
      <c r="C26" s="8">
        <v>0.50521920668058451</v>
      </c>
      <c r="D26" s="8"/>
      <c r="E26" s="2" t="s">
        <v>60</v>
      </c>
      <c r="F26" s="16">
        <v>18</v>
      </c>
      <c r="I26" s="2" t="s">
        <v>60</v>
      </c>
      <c r="J26" s="16">
        <v>620</v>
      </c>
      <c r="L26" s="2" t="s">
        <v>60</v>
      </c>
      <c r="M26" s="16">
        <v>20</v>
      </c>
    </row>
    <row r="27" spans="1:13" x14ac:dyDescent="0.3">
      <c r="A27" s="6" t="s">
        <v>1</v>
      </c>
      <c r="B27" s="3">
        <v>479</v>
      </c>
      <c r="C27" s="8">
        <v>1</v>
      </c>
      <c r="D27" s="8"/>
      <c r="E27" s="2" t="s">
        <v>61</v>
      </c>
      <c r="F27" s="16">
        <v>12</v>
      </c>
      <c r="I27" s="2" t="s">
        <v>61</v>
      </c>
      <c r="J27" s="16">
        <v>521</v>
      </c>
      <c r="L27" s="2" t="s">
        <v>61</v>
      </c>
      <c r="M27" s="16">
        <v>15</v>
      </c>
    </row>
    <row r="28" spans="1:13" x14ac:dyDescent="0.3">
      <c r="E28" s="2" t="s">
        <v>62</v>
      </c>
      <c r="F28" s="16">
        <v>14</v>
      </c>
      <c r="I28" s="2" t="s">
        <v>62</v>
      </c>
      <c r="J28" s="16">
        <v>509</v>
      </c>
      <c r="L28" s="2" t="s">
        <v>62</v>
      </c>
      <c r="M28" s="16">
        <v>37</v>
      </c>
    </row>
    <row r="29" spans="1:13" x14ac:dyDescent="0.3">
      <c r="E29" s="2" t="s">
        <v>63</v>
      </c>
      <c r="F29" s="16">
        <v>18</v>
      </c>
      <c r="I29" s="2" t="s">
        <v>63</v>
      </c>
      <c r="J29" s="16">
        <v>731</v>
      </c>
      <c r="L29" s="2" t="s">
        <v>63</v>
      </c>
      <c r="M29" s="16">
        <v>23</v>
      </c>
    </row>
    <row r="30" spans="1:13" x14ac:dyDescent="0.3">
      <c r="E30" s="2" t="s">
        <v>64</v>
      </c>
      <c r="F30" s="16">
        <v>16</v>
      </c>
      <c r="I30" s="2" t="s">
        <v>64</v>
      </c>
      <c r="J30" s="16">
        <v>478</v>
      </c>
      <c r="L30" s="2" t="s">
        <v>64</v>
      </c>
      <c r="M30" s="16">
        <v>25</v>
      </c>
    </row>
    <row r="31" spans="1:13" x14ac:dyDescent="0.3">
      <c r="A31" s="11" t="s">
        <v>11</v>
      </c>
      <c r="B31" s="14" t="s">
        <v>12</v>
      </c>
      <c r="C31" s="14" t="s">
        <v>13</v>
      </c>
      <c r="D31" s="11"/>
      <c r="E31" s="2" t="s">
        <v>65</v>
      </c>
      <c r="F31" s="16">
        <v>16</v>
      </c>
      <c r="I31" s="2" t="s">
        <v>65</v>
      </c>
      <c r="J31" s="16">
        <v>536</v>
      </c>
      <c r="L31" s="2" t="s">
        <v>65</v>
      </c>
      <c r="M31" s="16">
        <v>49</v>
      </c>
    </row>
    <row r="32" spans="1:13" ht="16.2" customHeight="1" x14ac:dyDescent="0.3">
      <c r="A32" s="12" t="str">
        <f>A26</f>
        <v>Not Admitted</v>
      </c>
      <c r="B32" s="15">
        <f>B26</f>
        <v>242</v>
      </c>
      <c r="C32" s="13">
        <f>C26</f>
        <v>0.50521920668058451</v>
      </c>
      <c r="D32" s="10"/>
      <c r="E32" s="2" t="s">
        <v>66</v>
      </c>
      <c r="F32" s="16">
        <v>16</v>
      </c>
      <c r="I32" s="2" t="s">
        <v>66</v>
      </c>
      <c r="J32" s="16">
        <v>521</v>
      </c>
      <c r="L32" s="2" t="s">
        <v>66</v>
      </c>
      <c r="M32" s="16">
        <v>23</v>
      </c>
    </row>
    <row r="33" spans="1:13" ht="17.399999999999999" customHeight="1" x14ac:dyDescent="0.3">
      <c r="A33" s="12" t="str">
        <f>A25</f>
        <v>Admitted</v>
      </c>
      <c r="B33" s="15">
        <f>B25</f>
        <v>237</v>
      </c>
      <c r="C33" s="13">
        <f>C25</f>
        <v>0.49478079331941544</v>
      </c>
      <c r="D33" s="9"/>
      <c r="E33" s="2" t="s">
        <v>67</v>
      </c>
      <c r="F33" s="16">
        <v>14</v>
      </c>
      <c r="I33" s="2" t="s">
        <v>67</v>
      </c>
      <c r="J33" s="16">
        <v>540</v>
      </c>
      <c r="L33" s="2" t="s">
        <v>67</v>
      </c>
      <c r="M33" s="16">
        <v>43</v>
      </c>
    </row>
    <row r="34" spans="1:13" x14ac:dyDescent="0.3">
      <c r="E34" s="2" t="s">
        <v>68</v>
      </c>
      <c r="F34" s="16">
        <v>14</v>
      </c>
      <c r="I34" s="2" t="s">
        <v>68</v>
      </c>
      <c r="J34" s="16">
        <v>458</v>
      </c>
      <c r="L34" s="2" t="s">
        <v>68</v>
      </c>
      <c r="M34" s="16">
        <v>28</v>
      </c>
    </row>
    <row r="35" spans="1:13" x14ac:dyDescent="0.3">
      <c r="E35" s="2" t="s">
        <v>1</v>
      </c>
      <c r="F35" s="16">
        <v>479</v>
      </c>
      <c r="I35" s="2" t="s">
        <v>1</v>
      </c>
      <c r="J35" s="16">
        <v>16718</v>
      </c>
      <c r="L35" s="2" t="s">
        <v>1</v>
      </c>
      <c r="M35" s="16">
        <v>769</v>
      </c>
    </row>
    <row r="41" spans="1:13" x14ac:dyDescent="0.3">
      <c r="A41" s="5" t="s">
        <v>0</v>
      </c>
      <c r="B41" s="3" t="s">
        <v>22</v>
      </c>
    </row>
    <row r="42" spans="1:13" x14ac:dyDescent="0.3">
      <c r="A42" s="6" t="s">
        <v>14</v>
      </c>
      <c r="B42" s="7">
        <v>70</v>
      </c>
    </row>
    <row r="43" spans="1:13" x14ac:dyDescent="0.3">
      <c r="A43" s="6" t="s">
        <v>15</v>
      </c>
      <c r="B43" s="7">
        <v>67</v>
      </c>
    </row>
    <row r="44" spans="1:13" x14ac:dyDescent="0.3">
      <c r="A44" s="6" t="s">
        <v>16</v>
      </c>
      <c r="B44" s="7">
        <v>64</v>
      </c>
    </row>
    <row r="45" spans="1:13" x14ac:dyDescent="0.3">
      <c r="A45" s="6" t="s">
        <v>17</v>
      </c>
      <c r="B45" s="7">
        <v>60</v>
      </c>
    </row>
    <row r="46" spans="1:13" x14ac:dyDescent="0.3">
      <c r="A46" s="6" t="s">
        <v>18</v>
      </c>
      <c r="B46" s="7">
        <v>42</v>
      </c>
      <c r="D46" s="5" t="s">
        <v>0</v>
      </c>
      <c r="E46" s="3" t="s">
        <v>28</v>
      </c>
      <c r="G46" s="5" t="s">
        <v>0</v>
      </c>
    </row>
    <row r="47" spans="1:13" x14ac:dyDescent="0.3">
      <c r="A47" s="6" t="s">
        <v>19</v>
      </c>
      <c r="B47" s="7">
        <v>53</v>
      </c>
      <c r="D47" s="6" t="s">
        <v>26</v>
      </c>
      <c r="E47" s="3">
        <v>235</v>
      </c>
      <c r="G47" s="6" t="s">
        <v>38</v>
      </c>
    </row>
    <row r="48" spans="1:13" x14ac:dyDescent="0.3">
      <c r="A48" s="6" t="s">
        <v>20</v>
      </c>
      <c r="B48" s="7">
        <v>71</v>
      </c>
      <c r="D48" s="6" t="s">
        <v>27</v>
      </c>
      <c r="E48" s="3">
        <v>244</v>
      </c>
    </row>
    <row r="49" spans="1:6" x14ac:dyDescent="0.3">
      <c r="A49" s="6" t="s">
        <v>21</v>
      </c>
      <c r="B49" s="7">
        <v>52</v>
      </c>
    </row>
    <row r="54" spans="1:6" x14ac:dyDescent="0.3">
      <c r="A54" s="5" t="s">
        <v>0</v>
      </c>
      <c r="B54" s="3" t="s">
        <v>25</v>
      </c>
      <c r="E54" s="5" t="s">
        <v>0</v>
      </c>
      <c r="F54" s="3" t="s">
        <v>37</v>
      </c>
    </row>
    <row r="55" spans="1:6" x14ac:dyDescent="0.3">
      <c r="A55" s="6" t="s">
        <v>23</v>
      </c>
      <c r="B55" s="3">
        <v>273</v>
      </c>
      <c r="E55" s="6" t="s">
        <v>36</v>
      </c>
      <c r="F55" s="3">
        <v>4</v>
      </c>
    </row>
    <row r="56" spans="1:6" x14ac:dyDescent="0.3">
      <c r="A56" s="6" t="s">
        <v>24</v>
      </c>
      <c r="B56" s="3">
        <v>206</v>
      </c>
      <c r="E56" s="6" t="s">
        <v>32</v>
      </c>
      <c r="F56" s="3">
        <v>11</v>
      </c>
    </row>
    <row r="57" spans="1:6" x14ac:dyDescent="0.3">
      <c r="E57" s="6" t="s">
        <v>35</v>
      </c>
      <c r="F57" s="3">
        <v>11</v>
      </c>
    </row>
    <row r="58" spans="1:6" x14ac:dyDescent="0.3">
      <c r="E58" s="6" t="s">
        <v>30</v>
      </c>
      <c r="F58" s="3">
        <v>12</v>
      </c>
    </row>
    <row r="59" spans="1:6" x14ac:dyDescent="0.3">
      <c r="E59" s="6" t="s">
        <v>29</v>
      </c>
      <c r="F59" s="3">
        <v>18</v>
      </c>
    </row>
    <row r="60" spans="1:6" x14ac:dyDescent="0.3">
      <c r="E60" s="6" t="s">
        <v>34</v>
      </c>
      <c r="F60" s="3">
        <v>45</v>
      </c>
    </row>
    <row r="61" spans="1:6" x14ac:dyDescent="0.3">
      <c r="E61" s="6" t="s">
        <v>31</v>
      </c>
      <c r="F61" s="3">
        <v>115</v>
      </c>
    </row>
    <row r="62" spans="1:6" x14ac:dyDescent="0.3">
      <c r="E62" s="6" t="s">
        <v>33</v>
      </c>
      <c r="F62" s="3">
        <v>263</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FBC01-F2DD-4427-B46B-49840326B3C6}">
  <dimension ref="A1"/>
  <sheetViews>
    <sheetView tabSelected="1" zoomScale="78" workbookViewId="0">
      <selection activeCell="V11" sqref="V11"/>
    </sheetView>
  </sheetViews>
  <sheetFormatPr defaultRowHeight="14.4" x14ac:dyDescent="0.3"/>
  <cols>
    <col min="1" max="16384" width="8.88671875" style="4"/>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FE7E5-23EE-49D2-84A6-0639290B3A5D}">
  <dimension ref="A1:Q40"/>
  <sheetViews>
    <sheetView topLeftCell="A4" workbookViewId="0"/>
  </sheetViews>
  <sheetFormatPr defaultRowHeight="14.4" x14ac:dyDescent="0.3"/>
  <sheetData>
    <row r="1" spans="1:17" x14ac:dyDescent="0.3">
      <c r="A1" s="4"/>
      <c r="B1" s="4"/>
      <c r="C1" s="4"/>
      <c r="D1" s="4"/>
      <c r="E1" s="4"/>
      <c r="F1" s="4"/>
      <c r="G1" s="4"/>
      <c r="H1" s="4"/>
      <c r="I1" s="4"/>
      <c r="J1" s="4"/>
      <c r="K1" s="4"/>
      <c r="L1" s="4"/>
      <c r="M1" s="4"/>
      <c r="N1" s="4"/>
      <c r="O1" s="4"/>
      <c r="P1" s="4"/>
      <c r="Q1" s="4"/>
    </row>
    <row r="2" spans="1:17" x14ac:dyDescent="0.3">
      <c r="A2" s="4"/>
      <c r="B2" s="4"/>
      <c r="C2" s="4"/>
      <c r="D2" s="4"/>
      <c r="E2" s="4"/>
      <c r="F2" s="4"/>
      <c r="G2" s="4"/>
      <c r="H2" s="4"/>
      <c r="I2" s="4"/>
      <c r="J2" s="4"/>
      <c r="K2" s="4"/>
      <c r="L2" s="4"/>
      <c r="M2" s="4"/>
      <c r="N2" s="4"/>
      <c r="O2" s="4"/>
      <c r="P2" s="4"/>
      <c r="Q2" s="4"/>
    </row>
    <row r="3" spans="1:17" x14ac:dyDescent="0.3">
      <c r="A3" s="4"/>
      <c r="B3" s="4"/>
      <c r="C3" s="4"/>
      <c r="D3" s="4"/>
      <c r="E3" s="4"/>
      <c r="F3" s="4"/>
      <c r="G3" s="4"/>
      <c r="H3" s="4"/>
      <c r="I3" s="4"/>
      <c r="J3" s="4"/>
      <c r="K3" s="4"/>
      <c r="L3" s="4"/>
      <c r="M3" s="4"/>
      <c r="N3" s="4"/>
      <c r="O3" s="4"/>
      <c r="P3" s="4"/>
      <c r="Q3" s="4"/>
    </row>
    <row r="4" spans="1:17" x14ac:dyDescent="0.3">
      <c r="A4" s="4"/>
      <c r="B4" s="4"/>
      <c r="C4" s="4"/>
      <c r="D4" s="4"/>
      <c r="E4" s="4"/>
      <c r="F4" s="4"/>
      <c r="G4" s="4"/>
      <c r="H4" s="4"/>
      <c r="I4" s="4"/>
      <c r="J4" s="4"/>
      <c r="K4" s="4"/>
      <c r="L4" s="4"/>
      <c r="M4" s="4"/>
      <c r="N4" s="4"/>
      <c r="O4" s="4"/>
      <c r="P4" s="4"/>
      <c r="Q4" s="4"/>
    </row>
    <row r="5" spans="1:17" x14ac:dyDescent="0.3">
      <c r="A5" s="4"/>
      <c r="B5" s="4"/>
      <c r="C5" s="4"/>
      <c r="D5" s="4"/>
      <c r="E5" s="4"/>
      <c r="F5" s="4"/>
      <c r="G5" s="4"/>
      <c r="H5" s="4"/>
      <c r="I5" s="4"/>
      <c r="J5" s="4"/>
      <c r="K5" s="4"/>
      <c r="L5" s="4"/>
      <c r="M5" s="4"/>
      <c r="N5" s="4"/>
      <c r="O5" s="4"/>
      <c r="P5" s="4"/>
      <c r="Q5" s="4"/>
    </row>
    <row r="6" spans="1:17" x14ac:dyDescent="0.3">
      <c r="A6" s="4"/>
      <c r="B6" s="4"/>
      <c r="C6" s="4"/>
      <c r="D6" s="4"/>
      <c r="E6" s="4"/>
      <c r="F6" s="4"/>
      <c r="G6" s="4"/>
      <c r="H6" s="4"/>
      <c r="I6" s="4"/>
      <c r="J6" s="4"/>
      <c r="K6" s="4"/>
      <c r="L6" s="4"/>
      <c r="M6" s="4"/>
      <c r="N6" s="4"/>
      <c r="O6" s="4"/>
      <c r="P6" s="4"/>
      <c r="Q6" s="4"/>
    </row>
    <row r="7" spans="1:17" x14ac:dyDescent="0.3">
      <c r="A7" s="4"/>
      <c r="B7" s="4"/>
      <c r="C7" s="4"/>
      <c r="D7" s="4"/>
      <c r="E7" s="4"/>
      <c r="F7" s="4"/>
      <c r="G7" s="4"/>
      <c r="H7" s="4"/>
      <c r="I7" s="4"/>
      <c r="J7" s="4"/>
      <c r="K7" s="4"/>
      <c r="L7" s="4"/>
      <c r="M7" s="4"/>
      <c r="N7" s="4"/>
      <c r="O7" s="4"/>
      <c r="P7" s="4"/>
      <c r="Q7" s="4"/>
    </row>
    <row r="8" spans="1:17" x14ac:dyDescent="0.3">
      <c r="A8" s="4"/>
      <c r="B8" s="4"/>
      <c r="C8" s="4"/>
      <c r="D8" s="4"/>
      <c r="E8" s="4"/>
      <c r="F8" s="4"/>
      <c r="G8" s="4"/>
      <c r="H8" s="4"/>
      <c r="I8" s="4"/>
      <c r="J8" s="4"/>
      <c r="K8" s="4"/>
      <c r="L8" s="4"/>
      <c r="M8" s="4"/>
      <c r="N8" s="4"/>
      <c r="O8" s="4"/>
      <c r="P8" s="4"/>
      <c r="Q8" s="4"/>
    </row>
    <row r="9" spans="1:17" x14ac:dyDescent="0.3">
      <c r="A9" s="4"/>
      <c r="B9" s="4"/>
      <c r="C9" s="4"/>
      <c r="D9" s="4"/>
      <c r="E9" s="4"/>
      <c r="F9" s="4"/>
      <c r="G9" s="4"/>
      <c r="H9" s="4"/>
      <c r="I9" s="4"/>
      <c r="J9" s="4"/>
      <c r="K9" s="4"/>
      <c r="L9" s="4"/>
      <c r="M9" s="4"/>
      <c r="N9" s="4"/>
      <c r="O9" s="4"/>
      <c r="P9" s="4"/>
      <c r="Q9" s="4"/>
    </row>
    <row r="10" spans="1:17" x14ac:dyDescent="0.3">
      <c r="A10" s="4"/>
      <c r="B10" s="4"/>
      <c r="C10" s="4"/>
      <c r="D10" s="4"/>
      <c r="E10" s="4"/>
      <c r="F10" s="4"/>
      <c r="G10" s="4"/>
      <c r="H10" s="4"/>
      <c r="I10" s="4"/>
      <c r="J10" s="4"/>
      <c r="K10" s="4"/>
      <c r="L10" s="4"/>
      <c r="M10" s="4"/>
      <c r="N10" s="4"/>
      <c r="O10" s="4"/>
      <c r="P10" s="4"/>
      <c r="Q10" s="4"/>
    </row>
    <row r="11" spans="1:17" x14ac:dyDescent="0.3">
      <c r="A11" s="4"/>
      <c r="B11" s="4"/>
      <c r="C11" s="4"/>
      <c r="D11" s="4"/>
      <c r="E11" s="4"/>
      <c r="F11" s="4"/>
      <c r="G11" s="4"/>
      <c r="H11" s="4"/>
      <c r="I11" s="4"/>
      <c r="J11" s="4"/>
      <c r="K11" s="4"/>
      <c r="L11" s="4"/>
      <c r="M11" s="4"/>
      <c r="N11" s="4"/>
      <c r="O11" s="4"/>
      <c r="P11" s="4"/>
      <c r="Q11" s="4"/>
    </row>
    <row r="12" spans="1:17" x14ac:dyDescent="0.3">
      <c r="A12" s="4"/>
      <c r="B12" s="4"/>
      <c r="C12" s="4"/>
      <c r="D12" s="4"/>
      <c r="E12" s="4"/>
      <c r="F12" s="4"/>
      <c r="G12" s="4"/>
      <c r="H12" s="4"/>
      <c r="I12" s="4"/>
      <c r="J12" s="4"/>
      <c r="K12" s="4"/>
      <c r="L12" s="4"/>
      <c r="M12" s="4"/>
      <c r="N12" s="4"/>
      <c r="O12" s="4"/>
      <c r="P12" s="4"/>
      <c r="Q12" s="4"/>
    </row>
    <row r="13" spans="1:17" x14ac:dyDescent="0.3">
      <c r="A13" s="4"/>
      <c r="B13" s="4"/>
      <c r="C13" s="4"/>
      <c r="D13" s="4"/>
      <c r="E13" s="4"/>
      <c r="F13" s="4"/>
      <c r="G13" s="4"/>
      <c r="H13" s="4"/>
      <c r="I13" s="4"/>
      <c r="J13" s="4"/>
      <c r="K13" s="4"/>
      <c r="L13" s="4"/>
      <c r="M13" s="4"/>
      <c r="N13" s="4"/>
      <c r="O13" s="4"/>
      <c r="P13" s="4"/>
      <c r="Q13" s="4"/>
    </row>
    <row r="14" spans="1:17" x14ac:dyDescent="0.3">
      <c r="A14" s="4"/>
      <c r="B14" s="4"/>
      <c r="C14" s="4"/>
      <c r="D14" s="4"/>
      <c r="E14" s="4"/>
      <c r="F14" s="4"/>
      <c r="G14" s="4"/>
      <c r="H14" s="4"/>
      <c r="I14" s="4"/>
      <c r="J14" s="4"/>
      <c r="K14" s="4"/>
      <c r="L14" s="4"/>
      <c r="M14" s="4"/>
      <c r="N14" s="4"/>
      <c r="O14" s="4"/>
      <c r="P14" s="4"/>
      <c r="Q14" s="4"/>
    </row>
    <row r="15" spans="1:17" x14ac:dyDescent="0.3">
      <c r="A15" s="4"/>
      <c r="B15" s="4"/>
      <c r="C15" s="4"/>
      <c r="D15" s="4"/>
      <c r="E15" s="4"/>
      <c r="F15" s="4"/>
      <c r="G15" s="4"/>
      <c r="H15" s="4"/>
      <c r="I15" s="4"/>
      <c r="J15" s="4"/>
      <c r="K15" s="4"/>
      <c r="L15" s="4"/>
      <c r="M15" s="4"/>
      <c r="N15" s="4"/>
      <c r="O15" s="4"/>
      <c r="P15" s="4"/>
      <c r="Q15" s="4"/>
    </row>
    <row r="16" spans="1:17" x14ac:dyDescent="0.3">
      <c r="A16" s="4"/>
      <c r="B16" s="4"/>
      <c r="C16" s="4"/>
      <c r="D16" s="4"/>
      <c r="E16" s="4"/>
      <c r="F16" s="4"/>
      <c r="G16" s="4"/>
      <c r="H16" s="4"/>
      <c r="I16" s="4"/>
      <c r="J16" s="4"/>
      <c r="K16" s="4"/>
      <c r="L16" s="4"/>
      <c r="M16" s="4"/>
      <c r="N16" s="4"/>
      <c r="O16" s="4"/>
      <c r="P16" s="4"/>
      <c r="Q16" s="4"/>
    </row>
    <row r="17" spans="1:17" x14ac:dyDescent="0.3">
      <c r="A17" s="4"/>
      <c r="B17" s="4"/>
      <c r="C17" s="4"/>
      <c r="D17" s="4"/>
      <c r="E17" s="4"/>
      <c r="F17" s="4"/>
      <c r="G17" s="4"/>
      <c r="H17" s="4"/>
      <c r="I17" s="4"/>
      <c r="J17" s="4"/>
      <c r="K17" s="4"/>
      <c r="L17" s="4"/>
      <c r="M17" s="4"/>
      <c r="N17" s="4"/>
      <c r="O17" s="4"/>
      <c r="P17" s="4"/>
      <c r="Q17" s="4"/>
    </row>
    <row r="18" spans="1:17" x14ac:dyDescent="0.3">
      <c r="A18" s="4"/>
      <c r="B18" s="4"/>
      <c r="C18" s="4"/>
      <c r="D18" s="4"/>
      <c r="E18" s="4"/>
      <c r="F18" s="4"/>
      <c r="G18" s="4"/>
      <c r="H18" s="4"/>
      <c r="I18" s="4"/>
      <c r="J18" s="4"/>
      <c r="K18" s="4"/>
      <c r="L18" s="4"/>
      <c r="M18" s="4"/>
      <c r="N18" s="4"/>
      <c r="O18" s="4"/>
      <c r="P18" s="4"/>
      <c r="Q18" s="4"/>
    </row>
    <row r="19" spans="1:17" x14ac:dyDescent="0.3">
      <c r="A19" s="4"/>
      <c r="B19" s="4"/>
      <c r="C19" s="4"/>
      <c r="D19" s="4"/>
      <c r="E19" s="4"/>
      <c r="F19" s="4"/>
      <c r="G19" s="4"/>
      <c r="H19" s="4"/>
      <c r="I19" s="4"/>
      <c r="J19" s="4"/>
      <c r="K19" s="4"/>
      <c r="L19" s="4"/>
      <c r="M19" s="4"/>
      <c r="N19" s="4"/>
      <c r="O19" s="4"/>
      <c r="P19" s="4"/>
      <c r="Q19" s="4"/>
    </row>
    <row r="20" spans="1:17" x14ac:dyDescent="0.3">
      <c r="A20" s="4"/>
      <c r="B20" s="4"/>
      <c r="C20" s="4"/>
      <c r="D20" s="4"/>
      <c r="E20" s="4"/>
      <c r="F20" s="4"/>
      <c r="G20" s="4"/>
      <c r="H20" s="4"/>
      <c r="I20" s="4"/>
      <c r="J20" s="4"/>
      <c r="K20" s="4"/>
      <c r="L20" s="4"/>
      <c r="M20" s="4"/>
      <c r="N20" s="4"/>
      <c r="O20" s="4"/>
      <c r="P20" s="4"/>
      <c r="Q20" s="4"/>
    </row>
    <row r="21" spans="1:17" x14ac:dyDescent="0.3">
      <c r="A21" s="4"/>
      <c r="B21" s="4"/>
      <c r="C21" s="4"/>
      <c r="D21" s="4"/>
      <c r="E21" s="4"/>
      <c r="F21" s="4"/>
      <c r="G21" s="4"/>
      <c r="H21" s="4"/>
      <c r="I21" s="4"/>
      <c r="J21" s="4"/>
      <c r="K21" s="4"/>
      <c r="L21" s="4"/>
      <c r="M21" s="4"/>
      <c r="N21" s="4"/>
      <c r="O21" s="4"/>
      <c r="P21" s="4"/>
      <c r="Q21" s="4"/>
    </row>
    <row r="22" spans="1:17" x14ac:dyDescent="0.3">
      <c r="A22" s="4"/>
      <c r="B22" s="4"/>
      <c r="C22" s="4"/>
      <c r="D22" s="4"/>
      <c r="E22" s="4"/>
      <c r="F22" s="4"/>
      <c r="G22" s="4"/>
      <c r="H22" s="4"/>
      <c r="I22" s="4"/>
      <c r="J22" s="4"/>
      <c r="K22" s="4"/>
      <c r="L22" s="4"/>
      <c r="M22" s="4"/>
      <c r="N22" s="4"/>
      <c r="O22" s="4"/>
      <c r="P22" s="4"/>
      <c r="Q22" s="4"/>
    </row>
    <row r="23" spans="1:17" x14ac:dyDescent="0.3">
      <c r="A23" s="4"/>
      <c r="B23" s="4"/>
      <c r="C23" s="4"/>
      <c r="D23" s="4"/>
      <c r="E23" s="4"/>
      <c r="F23" s="4"/>
      <c r="G23" s="4"/>
      <c r="H23" s="4"/>
      <c r="I23" s="4"/>
      <c r="J23" s="4"/>
      <c r="K23" s="4"/>
      <c r="L23" s="4"/>
      <c r="M23" s="4"/>
      <c r="N23" s="4"/>
      <c r="O23" s="4"/>
      <c r="P23" s="4"/>
      <c r="Q23" s="4"/>
    </row>
    <row r="24" spans="1:17" x14ac:dyDescent="0.3">
      <c r="A24" s="4"/>
      <c r="B24" s="4"/>
      <c r="C24" s="4"/>
      <c r="D24" s="4"/>
      <c r="E24" s="4"/>
      <c r="F24" s="4"/>
      <c r="G24" s="4"/>
      <c r="H24" s="4"/>
      <c r="I24" s="4"/>
      <c r="J24" s="4"/>
      <c r="K24" s="4"/>
      <c r="L24" s="4"/>
      <c r="M24" s="4"/>
      <c r="N24" s="4"/>
      <c r="O24" s="4"/>
      <c r="P24" s="4"/>
      <c r="Q24" s="4"/>
    </row>
    <row r="25" spans="1:17" x14ac:dyDescent="0.3">
      <c r="A25" s="4"/>
      <c r="B25" s="4"/>
      <c r="C25" s="4"/>
      <c r="D25" s="4"/>
      <c r="E25" s="4"/>
      <c r="F25" s="4"/>
      <c r="G25" s="4"/>
      <c r="H25" s="4"/>
      <c r="I25" s="4"/>
      <c r="J25" s="4"/>
      <c r="K25" s="4"/>
      <c r="L25" s="4"/>
      <c r="M25" s="4"/>
      <c r="N25" s="4"/>
      <c r="O25" s="4"/>
      <c r="P25" s="4"/>
      <c r="Q25" s="4"/>
    </row>
    <row r="26" spans="1:17" x14ac:dyDescent="0.3">
      <c r="A26" s="4"/>
      <c r="B26" s="4"/>
      <c r="C26" s="4"/>
      <c r="D26" s="4"/>
      <c r="E26" s="4"/>
      <c r="F26" s="4"/>
      <c r="G26" s="4"/>
      <c r="H26" s="4"/>
      <c r="I26" s="4"/>
      <c r="J26" s="4"/>
      <c r="K26" s="4"/>
      <c r="L26" s="4"/>
      <c r="M26" s="4"/>
      <c r="N26" s="4"/>
      <c r="O26" s="4"/>
      <c r="P26" s="4"/>
      <c r="Q26" s="4"/>
    </row>
    <row r="27" spans="1:17" x14ac:dyDescent="0.3">
      <c r="A27" s="4"/>
      <c r="B27" s="4"/>
      <c r="C27" s="4"/>
      <c r="D27" s="4"/>
      <c r="E27" s="4"/>
      <c r="F27" s="4"/>
      <c r="G27" s="4"/>
      <c r="H27" s="4"/>
      <c r="I27" s="4"/>
      <c r="J27" s="4"/>
      <c r="K27" s="4"/>
      <c r="L27" s="4"/>
      <c r="M27" s="4"/>
      <c r="N27" s="4"/>
      <c r="O27" s="4"/>
      <c r="P27" s="4"/>
      <c r="Q27" s="4"/>
    </row>
    <row r="28" spans="1:17" x14ac:dyDescent="0.3">
      <c r="A28" s="4"/>
      <c r="B28" s="4"/>
      <c r="C28" s="4"/>
      <c r="D28" s="4"/>
      <c r="E28" s="4"/>
      <c r="F28" s="4"/>
      <c r="G28" s="4"/>
      <c r="H28" s="4"/>
      <c r="I28" s="4"/>
      <c r="J28" s="4"/>
      <c r="K28" s="4"/>
      <c r="L28" s="4"/>
      <c r="M28" s="4"/>
      <c r="N28" s="4"/>
      <c r="O28" s="4"/>
      <c r="P28" s="4"/>
      <c r="Q28" s="4"/>
    </row>
    <row r="29" spans="1:17" x14ac:dyDescent="0.3">
      <c r="A29" s="4"/>
      <c r="B29" s="4"/>
      <c r="C29" s="4"/>
      <c r="D29" s="4"/>
      <c r="E29" s="4"/>
      <c r="F29" s="4"/>
      <c r="G29" s="4"/>
      <c r="H29" s="4"/>
      <c r="I29" s="4"/>
      <c r="J29" s="4"/>
      <c r="K29" s="4"/>
      <c r="L29" s="4"/>
      <c r="M29" s="4"/>
      <c r="N29" s="4"/>
      <c r="O29" s="4"/>
      <c r="P29" s="4"/>
      <c r="Q29" s="4"/>
    </row>
    <row r="30" spans="1:17" x14ac:dyDescent="0.3">
      <c r="A30" s="4"/>
      <c r="B30" s="4"/>
      <c r="C30" s="4"/>
      <c r="D30" s="4"/>
      <c r="E30" s="4"/>
      <c r="F30" s="4"/>
      <c r="G30" s="4"/>
      <c r="H30" s="4"/>
      <c r="I30" s="4"/>
      <c r="J30" s="4"/>
      <c r="K30" s="4"/>
      <c r="L30" s="4"/>
      <c r="M30" s="4"/>
      <c r="N30" s="4"/>
      <c r="O30" s="4"/>
      <c r="P30" s="4"/>
      <c r="Q30" s="4"/>
    </row>
    <row r="31" spans="1:17" x14ac:dyDescent="0.3">
      <c r="A31" s="4"/>
      <c r="B31" s="4"/>
      <c r="C31" s="4"/>
      <c r="D31" s="4"/>
      <c r="E31" s="4"/>
      <c r="F31" s="4"/>
      <c r="G31" s="4"/>
      <c r="H31" s="4"/>
      <c r="I31" s="4"/>
      <c r="J31" s="4"/>
      <c r="K31" s="4"/>
      <c r="L31" s="4"/>
      <c r="M31" s="4"/>
      <c r="N31" s="4"/>
      <c r="O31" s="4"/>
      <c r="P31" s="4"/>
      <c r="Q31" s="4"/>
    </row>
    <row r="32" spans="1:17" x14ac:dyDescent="0.3">
      <c r="A32" s="4"/>
      <c r="B32" s="4"/>
      <c r="C32" s="4"/>
      <c r="D32" s="4"/>
      <c r="E32" s="4"/>
      <c r="F32" s="4"/>
      <c r="G32" s="4"/>
      <c r="H32" s="4"/>
      <c r="I32" s="4"/>
      <c r="J32" s="4"/>
      <c r="K32" s="4"/>
      <c r="L32" s="4"/>
      <c r="M32" s="4"/>
      <c r="N32" s="4"/>
      <c r="O32" s="4"/>
      <c r="P32" s="4"/>
      <c r="Q32" s="4"/>
    </row>
    <row r="33" spans="1:17" x14ac:dyDescent="0.3">
      <c r="A33" s="4"/>
      <c r="B33" s="4"/>
      <c r="C33" s="4"/>
      <c r="D33" s="4"/>
      <c r="E33" s="4"/>
      <c r="F33" s="4"/>
      <c r="G33" s="4"/>
      <c r="H33" s="4"/>
      <c r="I33" s="4"/>
      <c r="J33" s="4"/>
      <c r="K33" s="4"/>
      <c r="L33" s="4"/>
      <c r="M33" s="4"/>
      <c r="N33" s="4"/>
      <c r="O33" s="4"/>
      <c r="P33" s="4"/>
      <c r="Q33" s="4"/>
    </row>
    <row r="34" spans="1:17" x14ac:dyDescent="0.3">
      <c r="A34" s="4"/>
      <c r="B34" s="4"/>
      <c r="C34" s="4"/>
      <c r="D34" s="4"/>
      <c r="E34" s="4"/>
      <c r="F34" s="4"/>
      <c r="G34" s="4"/>
      <c r="H34" s="4"/>
      <c r="I34" s="4"/>
      <c r="J34" s="4"/>
      <c r="K34" s="4"/>
      <c r="L34" s="4"/>
      <c r="M34" s="4"/>
      <c r="N34" s="4"/>
      <c r="O34" s="4"/>
      <c r="P34" s="4"/>
      <c r="Q34" s="4"/>
    </row>
    <row r="35" spans="1:17" x14ac:dyDescent="0.3">
      <c r="A35" s="4"/>
      <c r="B35" s="4"/>
      <c r="C35" s="4"/>
      <c r="D35" s="4"/>
      <c r="E35" s="4"/>
      <c r="F35" s="4"/>
      <c r="G35" s="4"/>
      <c r="H35" s="4"/>
      <c r="I35" s="4"/>
      <c r="J35" s="4"/>
      <c r="K35" s="4"/>
      <c r="L35" s="4"/>
      <c r="M35" s="4"/>
      <c r="N35" s="4"/>
      <c r="O35" s="4"/>
      <c r="P35" s="4"/>
      <c r="Q35" s="4"/>
    </row>
    <row r="36" spans="1:17" x14ac:dyDescent="0.3">
      <c r="A36" s="4"/>
      <c r="B36" s="4"/>
      <c r="C36" s="4"/>
      <c r="D36" s="4"/>
      <c r="E36" s="4"/>
      <c r="F36" s="4"/>
      <c r="G36" s="4"/>
      <c r="H36" s="4"/>
      <c r="I36" s="4"/>
      <c r="J36" s="4"/>
      <c r="K36" s="4"/>
      <c r="L36" s="4"/>
      <c r="M36" s="4"/>
      <c r="N36" s="4"/>
      <c r="O36" s="4"/>
      <c r="P36" s="4"/>
      <c r="Q36" s="4"/>
    </row>
    <row r="37" spans="1:17" x14ac:dyDescent="0.3">
      <c r="A37" s="4"/>
      <c r="B37" s="4"/>
      <c r="C37" s="4"/>
      <c r="D37" s="4"/>
      <c r="E37" s="4"/>
      <c r="F37" s="4"/>
      <c r="G37" s="4"/>
      <c r="H37" s="4"/>
      <c r="I37" s="4"/>
      <c r="J37" s="4"/>
      <c r="K37" s="4"/>
      <c r="L37" s="4"/>
      <c r="M37" s="4"/>
      <c r="N37" s="4"/>
      <c r="O37" s="4"/>
      <c r="P37" s="4"/>
      <c r="Q37" s="4"/>
    </row>
    <row r="38" spans="1:17" x14ac:dyDescent="0.3">
      <c r="A38" s="4"/>
      <c r="B38" s="4"/>
      <c r="C38" s="4"/>
      <c r="D38" s="4"/>
      <c r="E38" s="4"/>
      <c r="F38" s="4"/>
      <c r="G38" s="4"/>
      <c r="H38" s="4"/>
      <c r="I38" s="4"/>
      <c r="J38" s="4"/>
      <c r="K38" s="4"/>
      <c r="L38" s="4"/>
      <c r="M38" s="4"/>
      <c r="N38" s="4"/>
      <c r="O38" s="4"/>
      <c r="P38" s="4"/>
      <c r="Q38" s="4"/>
    </row>
    <row r="39" spans="1:17" x14ac:dyDescent="0.3">
      <c r="A39" s="4"/>
      <c r="B39" s="4"/>
      <c r="C39" s="4"/>
      <c r="D39" s="4"/>
      <c r="E39" s="4"/>
      <c r="F39" s="4"/>
      <c r="G39" s="4"/>
      <c r="H39" s="4"/>
      <c r="I39" s="4"/>
      <c r="J39" s="4"/>
      <c r="K39" s="4"/>
      <c r="L39" s="4"/>
      <c r="M39" s="4"/>
      <c r="N39" s="4"/>
      <c r="O39" s="4"/>
      <c r="P39" s="4"/>
      <c r="Q39" s="4"/>
    </row>
    <row r="40" spans="1:17" x14ac:dyDescent="0.3">
      <c r="A40" s="4"/>
      <c r="B40" s="4"/>
      <c r="C40" s="4"/>
      <c r="D40" s="4"/>
      <c r="E40" s="4"/>
      <c r="F40" s="4"/>
      <c r="G40" s="4"/>
      <c r="H40" s="4"/>
      <c r="I40" s="4"/>
      <c r="J40" s="4"/>
      <c r="K40" s="4"/>
      <c r="L40" s="4"/>
      <c r="M40" s="4"/>
      <c r="N40" s="4"/>
      <c r="O40" s="4"/>
      <c r="P40" s="4"/>
      <c r="Q40" s="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77CB7-B14A-4F01-B947-5481E32539B3}">
  <dimension ref="A1:N32"/>
  <sheetViews>
    <sheetView workbookViewId="0"/>
  </sheetViews>
  <sheetFormatPr defaultRowHeight="14.4" x14ac:dyDescent="0.3"/>
  <sheetData>
    <row r="1" spans="1:14" x14ac:dyDescent="0.3">
      <c r="A1" s="4"/>
      <c r="B1" s="4"/>
      <c r="C1" s="4"/>
      <c r="D1" s="4"/>
      <c r="E1" s="4"/>
      <c r="F1" s="4"/>
      <c r="G1" s="4"/>
      <c r="H1" s="4"/>
      <c r="I1" s="4"/>
      <c r="J1" s="4"/>
      <c r="K1" s="4"/>
      <c r="L1" s="4"/>
      <c r="M1" s="4"/>
      <c r="N1" s="4"/>
    </row>
    <row r="2" spans="1:14" x14ac:dyDescent="0.3">
      <c r="A2" s="4"/>
      <c r="B2" s="4"/>
      <c r="C2" s="4"/>
      <c r="D2" s="4"/>
      <c r="E2" s="4"/>
      <c r="F2" s="4"/>
      <c r="G2" s="4"/>
      <c r="H2" s="4"/>
      <c r="I2" s="4"/>
      <c r="J2" s="4"/>
      <c r="K2" s="4"/>
      <c r="L2" s="4"/>
      <c r="M2" s="4"/>
      <c r="N2" s="4"/>
    </row>
    <row r="3" spans="1:14" x14ac:dyDescent="0.3">
      <c r="A3" s="4"/>
      <c r="B3" s="4"/>
      <c r="C3" s="4"/>
      <c r="D3" s="4"/>
      <c r="E3" s="4"/>
      <c r="F3" s="4"/>
      <c r="G3" s="4"/>
      <c r="H3" s="4"/>
      <c r="I3" s="4"/>
      <c r="J3" s="4"/>
      <c r="K3" s="4"/>
      <c r="L3" s="4"/>
      <c r="M3" s="4"/>
      <c r="N3" s="4"/>
    </row>
    <row r="4" spans="1:14" x14ac:dyDescent="0.3">
      <c r="A4" s="4"/>
      <c r="B4" s="4"/>
      <c r="C4" s="4"/>
      <c r="D4" s="4"/>
      <c r="E4" s="4"/>
      <c r="F4" s="4"/>
      <c r="G4" s="4"/>
      <c r="H4" s="4"/>
      <c r="I4" s="4"/>
      <c r="J4" s="4"/>
      <c r="K4" s="4"/>
      <c r="L4" s="4"/>
      <c r="M4" s="4"/>
      <c r="N4" s="4"/>
    </row>
    <row r="5" spans="1:14" x14ac:dyDescent="0.3">
      <c r="A5" s="4"/>
      <c r="B5" s="4"/>
      <c r="C5" s="4"/>
      <c r="D5" s="4"/>
      <c r="E5" s="4"/>
      <c r="F5" s="4"/>
      <c r="G5" s="4"/>
      <c r="H5" s="4"/>
      <c r="I5" s="4"/>
      <c r="J5" s="4"/>
      <c r="K5" s="4"/>
      <c r="L5" s="4"/>
      <c r="M5" s="4"/>
      <c r="N5" s="4"/>
    </row>
    <row r="6" spans="1:14" x14ac:dyDescent="0.3">
      <c r="A6" s="4"/>
      <c r="B6" s="4"/>
      <c r="C6" s="4"/>
      <c r="D6" s="4"/>
      <c r="E6" s="4"/>
      <c r="F6" s="4"/>
      <c r="G6" s="4"/>
      <c r="H6" s="4"/>
      <c r="I6" s="4"/>
      <c r="J6" s="4"/>
      <c r="K6" s="4"/>
      <c r="L6" s="4"/>
      <c r="M6" s="4"/>
      <c r="N6" s="4"/>
    </row>
    <row r="7" spans="1:14" x14ac:dyDescent="0.3">
      <c r="A7" s="4"/>
      <c r="B7" s="4"/>
      <c r="C7" s="4"/>
      <c r="D7" s="4"/>
      <c r="E7" s="4"/>
      <c r="F7" s="4"/>
      <c r="G7" s="4"/>
      <c r="H7" s="4"/>
      <c r="I7" s="4"/>
      <c r="J7" s="4"/>
      <c r="K7" s="4"/>
      <c r="L7" s="4"/>
      <c r="M7" s="4"/>
      <c r="N7" s="4"/>
    </row>
    <row r="8" spans="1:14" x14ac:dyDescent="0.3">
      <c r="A8" s="4"/>
      <c r="B8" s="4"/>
      <c r="C8" s="4"/>
      <c r="D8" s="4"/>
      <c r="E8" s="4"/>
      <c r="F8" s="4"/>
      <c r="G8" s="4"/>
      <c r="H8" s="4"/>
      <c r="I8" s="4"/>
      <c r="J8" s="4"/>
      <c r="K8" s="4"/>
      <c r="L8" s="4"/>
      <c r="M8" s="4"/>
      <c r="N8" s="4"/>
    </row>
    <row r="9" spans="1:14" x14ac:dyDescent="0.3">
      <c r="A9" s="4"/>
      <c r="B9" s="4"/>
      <c r="C9" s="4"/>
      <c r="D9" s="4"/>
      <c r="E9" s="4"/>
      <c r="F9" s="4"/>
      <c r="G9" s="4"/>
      <c r="H9" s="4"/>
      <c r="I9" s="4"/>
      <c r="J9" s="4"/>
      <c r="K9" s="4"/>
      <c r="L9" s="4"/>
      <c r="M9" s="4"/>
      <c r="N9" s="4"/>
    </row>
    <row r="10" spans="1:14" x14ac:dyDescent="0.3">
      <c r="A10" s="4"/>
      <c r="B10" s="4"/>
      <c r="C10" s="4"/>
      <c r="D10" s="4"/>
      <c r="E10" s="4"/>
      <c r="F10" s="4"/>
      <c r="G10" s="4"/>
      <c r="H10" s="4"/>
      <c r="I10" s="4"/>
      <c r="J10" s="4"/>
      <c r="K10" s="4"/>
      <c r="L10" s="4"/>
      <c r="M10" s="4"/>
      <c r="N10" s="4"/>
    </row>
    <row r="11" spans="1:14" x14ac:dyDescent="0.3">
      <c r="A11" s="4"/>
      <c r="B11" s="4"/>
      <c r="C11" s="4"/>
      <c r="D11" s="4"/>
      <c r="E11" s="4"/>
      <c r="F11" s="4"/>
      <c r="G11" s="4"/>
      <c r="H11" s="4"/>
      <c r="I11" s="4"/>
      <c r="J11" s="4"/>
      <c r="K11" s="4"/>
      <c r="L11" s="4"/>
      <c r="M11" s="4"/>
      <c r="N11" s="4"/>
    </row>
    <row r="12" spans="1:14" x14ac:dyDescent="0.3">
      <c r="A12" s="4"/>
      <c r="B12" s="4"/>
      <c r="C12" s="4"/>
      <c r="D12" s="4"/>
      <c r="E12" s="4"/>
      <c r="F12" s="4"/>
      <c r="G12" s="4"/>
      <c r="H12" s="4"/>
      <c r="I12" s="4"/>
      <c r="J12" s="4"/>
      <c r="K12" s="4"/>
      <c r="L12" s="4"/>
      <c r="M12" s="4"/>
      <c r="N12" s="4"/>
    </row>
    <row r="13" spans="1:14" x14ac:dyDescent="0.3">
      <c r="A13" s="4"/>
      <c r="B13" s="4"/>
      <c r="C13" s="4"/>
      <c r="D13" s="4"/>
      <c r="E13" s="4"/>
      <c r="F13" s="4"/>
      <c r="G13" s="4"/>
      <c r="H13" s="4"/>
      <c r="I13" s="4"/>
      <c r="J13" s="4"/>
      <c r="K13" s="4"/>
      <c r="L13" s="4"/>
      <c r="M13" s="4"/>
      <c r="N13" s="4"/>
    </row>
    <row r="14" spans="1:14" x14ac:dyDescent="0.3">
      <c r="A14" s="4"/>
      <c r="B14" s="4"/>
      <c r="C14" s="4"/>
      <c r="D14" s="4"/>
      <c r="E14" s="4"/>
      <c r="F14" s="4"/>
      <c r="G14" s="4"/>
      <c r="H14" s="4"/>
      <c r="I14" s="4"/>
      <c r="J14" s="4"/>
      <c r="K14" s="4"/>
      <c r="L14" s="4"/>
      <c r="M14" s="4"/>
      <c r="N14" s="4"/>
    </row>
    <row r="15" spans="1:14" x14ac:dyDescent="0.3">
      <c r="A15" s="4"/>
      <c r="B15" s="4"/>
      <c r="C15" s="4"/>
      <c r="D15" s="4"/>
      <c r="E15" s="4"/>
      <c r="F15" s="4"/>
      <c r="G15" s="4"/>
      <c r="H15" s="4"/>
      <c r="I15" s="4"/>
      <c r="J15" s="4"/>
      <c r="K15" s="4"/>
      <c r="L15" s="4"/>
      <c r="M15" s="4"/>
      <c r="N15" s="4"/>
    </row>
    <row r="16" spans="1:14" x14ac:dyDescent="0.3">
      <c r="A16" s="4"/>
      <c r="B16" s="4"/>
      <c r="C16" s="4"/>
      <c r="D16" s="4"/>
      <c r="E16" s="4"/>
      <c r="F16" s="4"/>
      <c r="G16" s="4"/>
      <c r="H16" s="4"/>
      <c r="I16" s="4"/>
      <c r="J16" s="4"/>
      <c r="K16" s="4"/>
      <c r="L16" s="4"/>
      <c r="M16" s="4"/>
      <c r="N16" s="4"/>
    </row>
    <row r="17" spans="1:14" x14ac:dyDescent="0.3">
      <c r="A17" s="4"/>
      <c r="B17" s="4"/>
      <c r="C17" s="4"/>
      <c r="D17" s="4"/>
      <c r="E17" s="4"/>
      <c r="F17" s="4"/>
      <c r="G17" s="4"/>
      <c r="H17" s="4"/>
      <c r="I17" s="4"/>
      <c r="J17" s="4"/>
      <c r="K17" s="4"/>
      <c r="L17" s="4"/>
      <c r="M17" s="4"/>
      <c r="N17" s="4"/>
    </row>
    <row r="18" spans="1:14" x14ac:dyDescent="0.3">
      <c r="A18" s="4"/>
      <c r="B18" s="4"/>
      <c r="C18" s="4"/>
      <c r="D18" s="4"/>
      <c r="E18" s="4"/>
      <c r="F18" s="4"/>
      <c r="G18" s="4"/>
      <c r="H18" s="4"/>
      <c r="I18" s="4"/>
      <c r="J18" s="4"/>
      <c r="K18" s="4"/>
      <c r="L18" s="4"/>
      <c r="M18" s="4"/>
      <c r="N18" s="4"/>
    </row>
    <row r="19" spans="1:14" x14ac:dyDescent="0.3">
      <c r="A19" s="4"/>
      <c r="B19" s="4"/>
      <c r="C19" s="4"/>
      <c r="D19" s="4"/>
      <c r="E19" s="4"/>
      <c r="F19" s="4"/>
      <c r="G19" s="4"/>
      <c r="H19" s="4"/>
      <c r="I19" s="4"/>
      <c r="J19" s="4"/>
      <c r="K19" s="4"/>
      <c r="L19" s="4"/>
      <c r="M19" s="4"/>
      <c r="N19" s="4"/>
    </row>
    <row r="20" spans="1:14" x14ac:dyDescent="0.3">
      <c r="A20" s="4"/>
      <c r="B20" s="4"/>
      <c r="C20" s="4"/>
      <c r="D20" s="4"/>
      <c r="E20" s="4"/>
      <c r="F20" s="4"/>
      <c r="G20" s="4"/>
      <c r="H20" s="4"/>
      <c r="I20" s="4"/>
      <c r="J20" s="4"/>
      <c r="K20" s="4"/>
      <c r="L20" s="4"/>
      <c r="M20" s="4"/>
      <c r="N20" s="4"/>
    </row>
    <row r="21" spans="1:14" x14ac:dyDescent="0.3">
      <c r="A21" s="4"/>
      <c r="B21" s="4"/>
      <c r="C21" s="4"/>
      <c r="D21" s="4"/>
      <c r="E21" s="4"/>
      <c r="F21" s="4"/>
      <c r="G21" s="4"/>
      <c r="H21" s="4"/>
      <c r="I21" s="4"/>
      <c r="J21" s="4"/>
      <c r="K21" s="4"/>
      <c r="L21" s="4"/>
      <c r="M21" s="4"/>
      <c r="N21" s="4"/>
    </row>
    <row r="22" spans="1:14" x14ac:dyDescent="0.3">
      <c r="A22" s="4"/>
      <c r="B22" s="4"/>
      <c r="C22" s="4"/>
      <c r="D22" s="4"/>
      <c r="E22" s="4"/>
      <c r="F22" s="4"/>
      <c r="G22" s="4"/>
      <c r="H22" s="4"/>
      <c r="I22" s="4"/>
      <c r="J22" s="4"/>
      <c r="K22" s="4"/>
      <c r="L22" s="4"/>
      <c r="M22" s="4"/>
      <c r="N22" s="4"/>
    </row>
    <row r="23" spans="1:14" x14ac:dyDescent="0.3">
      <c r="A23" s="4"/>
      <c r="B23" s="4"/>
      <c r="C23" s="4"/>
      <c r="D23" s="4"/>
      <c r="E23" s="4"/>
      <c r="F23" s="4"/>
      <c r="G23" s="4"/>
      <c r="H23" s="4"/>
      <c r="I23" s="4"/>
      <c r="J23" s="4"/>
      <c r="K23" s="4"/>
      <c r="L23" s="4"/>
      <c r="M23" s="4"/>
      <c r="N23" s="4"/>
    </row>
    <row r="24" spans="1:14" x14ac:dyDescent="0.3">
      <c r="A24" s="4"/>
      <c r="B24" s="4"/>
      <c r="C24" s="4"/>
      <c r="D24" s="4"/>
      <c r="E24" s="4"/>
      <c r="F24" s="4"/>
      <c r="G24" s="4"/>
      <c r="H24" s="4"/>
      <c r="I24" s="4"/>
      <c r="J24" s="4"/>
      <c r="K24" s="4"/>
      <c r="L24" s="4"/>
      <c r="M24" s="4"/>
      <c r="N24" s="4"/>
    </row>
    <row r="25" spans="1:14" x14ac:dyDescent="0.3">
      <c r="A25" s="4"/>
      <c r="B25" s="4"/>
      <c r="C25" s="4"/>
      <c r="D25" s="4"/>
      <c r="E25" s="4"/>
      <c r="F25" s="4"/>
      <c r="G25" s="4"/>
      <c r="H25" s="4"/>
      <c r="I25" s="4"/>
      <c r="J25" s="4"/>
      <c r="K25" s="4"/>
      <c r="L25" s="4"/>
      <c r="M25" s="4"/>
      <c r="N25" s="4"/>
    </row>
    <row r="26" spans="1:14" x14ac:dyDescent="0.3">
      <c r="A26" s="4"/>
      <c r="B26" s="4"/>
      <c r="C26" s="4"/>
      <c r="D26" s="4"/>
      <c r="E26" s="4"/>
      <c r="F26" s="4"/>
      <c r="G26" s="4"/>
      <c r="H26" s="4"/>
      <c r="I26" s="4"/>
      <c r="J26" s="4"/>
      <c r="K26" s="4"/>
      <c r="L26" s="4"/>
      <c r="M26" s="4"/>
      <c r="N26" s="4"/>
    </row>
    <row r="27" spans="1:14" x14ac:dyDescent="0.3">
      <c r="A27" s="4"/>
      <c r="B27" s="4"/>
      <c r="C27" s="4"/>
      <c r="D27" s="4"/>
      <c r="E27" s="4"/>
      <c r="F27" s="4"/>
      <c r="G27" s="4"/>
      <c r="H27" s="4"/>
      <c r="I27" s="4"/>
      <c r="J27" s="4"/>
      <c r="K27" s="4"/>
      <c r="L27" s="4"/>
      <c r="M27" s="4"/>
      <c r="N27" s="4"/>
    </row>
    <row r="28" spans="1:14" x14ac:dyDescent="0.3">
      <c r="A28" s="4"/>
      <c r="B28" s="4"/>
      <c r="C28" s="4"/>
      <c r="D28" s="4"/>
      <c r="E28" s="4"/>
      <c r="F28" s="4"/>
      <c r="G28" s="4"/>
      <c r="H28" s="4"/>
      <c r="I28" s="4"/>
      <c r="J28" s="4"/>
      <c r="K28" s="4"/>
      <c r="L28" s="4"/>
      <c r="M28" s="4"/>
      <c r="N28" s="4"/>
    </row>
    <row r="29" spans="1:14" x14ac:dyDescent="0.3">
      <c r="A29" s="4"/>
      <c r="B29" s="4"/>
      <c r="C29" s="4"/>
      <c r="D29" s="4"/>
      <c r="E29" s="4"/>
      <c r="F29" s="4"/>
      <c r="G29" s="4"/>
      <c r="H29" s="4"/>
      <c r="I29" s="4"/>
      <c r="J29" s="4"/>
      <c r="K29" s="4"/>
      <c r="L29" s="4"/>
      <c r="M29" s="4"/>
      <c r="N29" s="4"/>
    </row>
    <row r="30" spans="1:14" x14ac:dyDescent="0.3">
      <c r="A30" s="4"/>
      <c r="B30" s="4"/>
      <c r="C30" s="4"/>
      <c r="D30" s="4"/>
      <c r="E30" s="4"/>
      <c r="F30" s="4"/>
      <c r="G30" s="4"/>
      <c r="H30" s="4"/>
      <c r="I30" s="4"/>
      <c r="J30" s="4"/>
      <c r="K30" s="4"/>
      <c r="L30" s="4"/>
      <c r="M30" s="4"/>
      <c r="N30" s="4"/>
    </row>
    <row r="31" spans="1:14" x14ac:dyDescent="0.3">
      <c r="A31" s="4"/>
      <c r="B31" s="4"/>
      <c r="C31" s="4"/>
      <c r="D31" s="4"/>
      <c r="E31" s="4"/>
      <c r="F31" s="4"/>
      <c r="G31" s="4"/>
      <c r="H31" s="4"/>
      <c r="I31" s="4"/>
      <c r="J31" s="4"/>
      <c r="K31" s="4"/>
      <c r="L31" s="4"/>
      <c r="M31" s="4"/>
      <c r="N31" s="4"/>
    </row>
    <row r="32" spans="1:14" x14ac:dyDescent="0.3">
      <c r="A32" s="4"/>
      <c r="B32" s="4"/>
      <c r="C32" s="4"/>
      <c r="D32" s="4"/>
      <c r="E32" s="4"/>
      <c r="F32" s="4"/>
      <c r="G32" s="4"/>
      <c r="H32" s="4"/>
      <c r="I32" s="4"/>
      <c r="J32" s="4"/>
      <c r="K32" s="4"/>
      <c r="L32" s="4"/>
      <c r="M32" s="4"/>
      <c r="N32"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B8076-292C-40FB-B430-7705FBD8DDEA}">
  <dimension ref="A1:P26"/>
  <sheetViews>
    <sheetView workbookViewId="0"/>
  </sheetViews>
  <sheetFormatPr defaultRowHeight="14.4" x14ac:dyDescent="0.3"/>
  <sheetData>
    <row r="1" spans="1:16" x14ac:dyDescent="0.3">
      <c r="A1" s="4"/>
      <c r="B1" s="4"/>
      <c r="C1" s="4"/>
      <c r="D1" s="4"/>
      <c r="E1" s="4"/>
      <c r="F1" s="4"/>
      <c r="G1" s="4"/>
      <c r="H1" s="4"/>
      <c r="I1" s="4"/>
      <c r="J1" s="4"/>
      <c r="K1" s="4"/>
      <c r="L1" s="4"/>
      <c r="M1" s="4"/>
      <c r="N1" s="4"/>
      <c r="O1" s="4"/>
      <c r="P1" s="4"/>
    </row>
    <row r="2" spans="1:16" x14ac:dyDescent="0.3">
      <c r="A2" s="4"/>
      <c r="B2" s="4"/>
      <c r="C2" s="4"/>
      <c r="D2" s="4"/>
      <c r="E2" s="4"/>
      <c r="F2" s="4"/>
      <c r="G2" s="4"/>
      <c r="H2" s="4"/>
      <c r="I2" s="4"/>
      <c r="J2" s="4"/>
      <c r="K2" s="4"/>
      <c r="L2" s="4"/>
      <c r="M2" s="4"/>
      <c r="N2" s="4"/>
      <c r="O2" s="4"/>
      <c r="P2" s="4"/>
    </row>
    <row r="3" spans="1:16" x14ac:dyDescent="0.3">
      <c r="A3" s="4"/>
      <c r="B3" s="4"/>
      <c r="C3" s="4"/>
      <c r="D3" s="4"/>
      <c r="E3" s="4"/>
      <c r="F3" s="4"/>
      <c r="G3" s="4"/>
      <c r="H3" s="4"/>
      <c r="I3" s="4"/>
      <c r="J3" s="4"/>
      <c r="K3" s="4"/>
      <c r="L3" s="4"/>
      <c r="M3" s="4"/>
      <c r="N3" s="4"/>
      <c r="O3" s="4"/>
      <c r="P3" s="4"/>
    </row>
    <row r="4" spans="1:16" x14ac:dyDescent="0.3">
      <c r="A4" s="4"/>
      <c r="B4" s="4"/>
      <c r="C4" s="4"/>
      <c r="D4" s="4"/>
      <c r="E4" s="4"/>
      <c r="F4" s="4"/>
      <c r="G4" s="4"/>
      <c r="H4" s="4"/>
      <c r="I4" s="4"/>
      <c r="J4" s="4"/>
      <c r="K4" s="4"/>
      <c r="L4" s="4"/>
      <c r="M4" s="4"/>
      <c r="N4" s="4"/>
      <c r="O4" s="4"/>
      <c r="P4" s="4"/>
    </row>
    <row r="5" spans="1:16" x14ac:dyDescent="0.3">
      <c r="A5" s="4"/>
      <c r="B5" s="4"/>
      <c r="C5" s="4"/>
      <c r="D5" s="4"/>
      <c r="E5" s="4"/>
      <c r="F5" s="4"/>
      <c r="G5" s="4"/>
      <c r="H5" s="4"/>
      <c r="I5" s="4"/>
      <c r="J5" s="4"/>
      <c r="K5" s="4"/>
      <c r="L5" s="4"/>
      <c r="M5" s="4"/>
      <c r="N5" s="4"/>
      <c r="O5" s="4"/>
      <c r="P5" s="4"/>
    </row>
    <row r="6" spans="1:16" x14ac:dyDescent="0.3">
      <c r="A6" s="4"/>
      <c r="B6" s="4"/>
      <c r="C6" s="4"/>
      <c r="D6" s="4"/>
      <c r="E6" s="4"/>
      <c r="F6" s="4"/>
      <c r="G6" s="4"/>
      <c r="H6" s="4"/>
      <c r="I6" s="4"/>
      <c r="J6" s="4"/>
      <c r="K6" s="4"/>
      <c r="L6" s="4"/>
      <c r="M6" s="4"/>
      <c r="N6" s="4"/>
      <c r="O6" s="4"/>
      <c r="P6" s="4"/>
    </row>
    <row r="7" spans="1:16" x14ac:dyDescent="0.3">
      <c r="A7" s="4"/>
      <c r="B7" s="4"/>
      <c r="C7" s="4"/>
      <c r="D7" s="4"/>
      <c r="E7" s="4"/>
      <c r="F7" s="4"/>
      <c r="G7" s="4"/>
      <c r="H7" s="4"/>
      <c r="I7" s="4"/>
      <c r="J7" s="4"/>
      <c r="K7" s="4"/>
      <c r="L7" s="4"/>
      <c r="M7" s="4"/>
      <c r="N7" s="4"/>
      <c r="O7" s="4"/>
      <c r="P7" s="4"/>
    </row>
    <row r="8" spans="1:16" x14ac:dyDescent="0.3">
      <c r="A8" s="4"/>
      <c r="B8" s="4"/>
      <c r="C8" s="4"/>
      <c r="D8" s="4"/>
      <c r="E8" s="4"/>
      <c r="F8" s="4"/>
      <c r="G8" s="4"/>
      <c r="H8" s="4"/>
      <c r="I8" s="4"/>
      <c r="J8" s="4"/>
      <c r="K8" s="4"/>
      <c r="L8" s="4"/>
      <c r="M8" s="4"/>
      <c r="N8" s="4"/>
      <c r="O8" s="4"/>
      <c r="P8" s="4"/>
    </row>
    <row r="9" spans="1:16" x14ac:dyDescent="0.3">
      <c r="A9" s="4"/>
      <c r="B9" s="4"/>
      <c r="C9" s="4"/>
      <c r="D9" s="4"/>
      <c r="E9" s="4"/>
      <c r="F9" s="4"/>
      <c r="G9" s="4"/>
      <c r="H9" s="4"/>
      <c r="I9" s="4"/>
      <c r="J9" s="4"/>
      <c r="K9" s="4"/>
      <c r="L9" s="4"/>
      <c r="M9" s="4"/>
      <c r="N9" s="4"/>
      <c r="O9" s="4"/>
      <c r="P9" s="4"/>
    </row>
    <row r="10" spans="1:16" x14ac:dyDescent="0.3">
      <c r="A10" s="4"/>
      <c r="B10" s="4"/>
      <c r="C10" s="4"/>
      <c r="D10" s="4"/>
      <c r="E10" s="4"/>
      <c r="F10" s="4"/>
      <c r="G10" s="4"/>
      <c r="H10" s="4"/>
      <c r="I10" s="4"/>
      <c r="J10" s="4"/>
      <c r="K10" s="4"/>
      <c r="L10" s="4"/>
      <c r="M10" s="4"/>
      <c r="N10" s="4"/>
      <c r="O10" s="4"/>
      <c r="P10" s="4"/>
    </row>
    <row r="11" spans="1:16" x14ac:dyDescent="0.3">
      <c r="A11" s="4"/>
      <c r="B11" s="4"/>
      <c r="C11" s="4"/>
      <c r="D11" s="4"/>
      <c r="E11" s="4"/>
      <c r="F11" s="4"/>
      <c r="G11" s="4"/>
      <c r="H11" s="4"/>
      <c r="I11" s="4"/>
      <c r="J11" s="4"/>
      <c r="K11" s="4"/>
      <c r="L11" s="4"/>
      <c r="M11" s="4"/>
      <c r="N11" s="4"/>
      <c r="O11" s="4"/>
      <c r="P11" s="4"/>
    </row>
    <row r="12" spans="1:16" x14ac:dyDescent="0.3">
      <c r="A12" s="4"/>
      <c r="B12" s="4"/>
      <c r="C12" s="4"/>
      <c r="D12" s="4"/>
      <c r="E12" s="4"/>
      <c r="F12" s="4"/>
      <c r="G12" s="4"/>
      <c r="H12" s="4"/>
      <c r="I12" s="4"/>
      <c r="J12" s="4"/>
      <c r="K12" s="4"/>
      <c r="L12" s="4"/>
      <c r="M12" s="4"/>
      <c r="N12" s="4"/>
      <c r="O12" s="4"/>
      <c r="P12" s="4"/>
    </row>
    <row r="13" spans="1:16" x14ac:dyDescent="0.3">
      <c r="A13" s="4"/>
      <c r="B13" s="4"/>
      <c r="C13" s="4"/>
      <c r="D13" s="4"/>
      <c r="E13" s="4"/>
      <c r="F13" s="4"/>
      <c r="G13" s="4"/>
      <c r="H13" s="4"/>
      <c r="I13" s="4"/>
      <c r="J13" s="4"/>
      <c r="K13" s="4"/>
      <c r="L13" s="4"/>
      <c r="M13" s="4"/>
      <c r="N13" s="4"/>
      <c r="O13" s="4"/>
      <c r="P13" s="4"/>
    </row>
    <row r="14" spans="1:16" x14ac:dyDescent="0.3">
      <c r="A14" s="4"/>
      <c r="B14" s="4"/>
      <c r="C14" s="4"/>
      <c r="D14" s="4"/>
      <c r="E14" s="4"/>
      <c r="F14" s="4"/>
      <c r="G14" s="4"/>
      <c r="H14" s="4"/>
      <c r="I14" s="4"/>
      <c r="J14" s="4"/>
      <c r="K14" s="4"/>
      <c r="L14" s="4"/>
      <c r="M14" s="4"/>
      <c r="N14" s="4"/>
      <c r="O14" s="4"/>
      <c r="P14" s="4"/>
    </row>
    <row r="15" spans="1:16" x14ac:dyDescent="0.3">
      <c r="A15" s="4"/>
      <c r="B15" s="4"/>
      <c r="C15" s="4"/>
      <c r="D15" s="4"/>
      <c r="E15" s="4"/>
      <c r="F15" s="4"/>
      <c r="G15" s="4"/>
      <c r="H15" s="4"/>
      <c r="I15" s="4"/>
      <c r="J15" s="4"/>
      <c r="K15" s="4"/>
      <c r="L15" s="4"/>
      <c r="M15" s="4"/>
      <c r="N15" s="4"/>
      <c r="O15" s="4"/>
      <c r="P15" s="4"/>
    </row>
    <row r="16" spans="1:16" x14ac:dyDescent="0.3">
      <c r="A16" s="4"/>
      <c r="B16" s="4"/>
      <c r="C16" s="4"/>
      <c r="D16" s="4"/>
      <c r="E16" s="4"/>
      <c r="F16" s="4"/>
      <c r="G16" s="4"/>
      <c r="H16" s="4"/>
      <c r="I16" s="4"/>
      <c r="J16" s="4"/>
      <c r="K16" s="4"/>
      <c r="L16" s="4"/>
      <c r="M16" s="4"/>
      <c r="N16" s="4"/>
      <c r="O16" s="4"/>
      <c r="P16" s="4"/>
    </row>
    <row r="17" spans="1:16" x14ac:dyDescent="0.3">
      <c r="A17" s="4"/>
      <c r="B17" s="4"/>
      <c r="C17" s="4"/>
      <c r="D17" s="4"/>
      <c r="E17" s="4"/>
      <c r="F17" s="4"/>
      <c r="G17" s="4"/>
      <c r="H17" s="4"/>
      <c r="I17" s="4"/>
      <c r="J17" s="4"/>
      <c r="K17" s="4"/>
      <c r="L17" s="4"/>
      <c r="M17" s="4"/>
      <c r="N17" s="4"/>
      <c r="O17" s="4"/>
      <c r="P17" s="4"/>
    </row>
    <row r="18" spans="1:16" x14ac:dyDescent="0.3">
      <c r="A18" s="4"/>
      <c r="B18" s="4"/>
      <c r="C18" s="4"/>
      <c r="D18" s="4"/>
      <c r="E18" s="4"/>
      <c r="F18" s="4"/>
      <c r="G18" s="4"/>
      <c r="H18" s="4"/>
      <c r="I18" s="4"/>
      <c r="J18" s="4"/>
      <c r="K18" s="4"/>
      <c r="L18" s="4"/>
      <c r="M18" s="4"/>
      <c r="N18" s="4"/>
      <c r="O18" s="4"/>
      <c r="P18" s="4"/>
    </row>
    <row r="19" spans="1:16" x14ac:dyDescent="0.3">
      <c r="A19" s="4"/>
      <c r="B19" s="4"/>
      <c r="C19" s="4"/>
      <c r="D19" s="4"/>
      <c r="E19" s="4"/>
      <c r="F19" s="4"/>
      <c r="G19" s="4"/>
      <c r="H19" s="4"/>
      <c r="I19" s="4"/>
      <c r="J19" s="4"/>
      <c r="K19" s="4"/>
      <c r="L19" s="4"/>
      <c r="M19" s="4"/>
      <c r="N19" s="4"/>
      <c r="O19" s="4"/>
      <c r="P19" s="4"/>
    </row>
    <row r="20" spans="1:16" x14ac:dyDescent="0.3">
      <c r="A20" s="4"/>
      <c r="B20" s="4"/>
      <c r="C20" s="4"/>
      <c r="D20" s="4"/>
      <c r="E20" s="4"/>
      <c r="F20" s="4"/>
      <c r="G20" s="4"/>
      <c r="H20" s="4"/>
      <c r="I20" s="4"/>
      <c r="J20" s="4"/>
      <c r="K20" s="4"/>
      <c r="L20" s="4"/>
      <c r="M20" s="4"/>
      <c r="N20" s="4"/>
      <c r="O20" s="4"/>
      <c r="P20" s="4"/>
    </row>
    <row r="21" spans="1:16" x14ac:dyDescent="0.3">
      <c r="A21" s="4"/>
      <c r="B21" s="4"/>
      <c r="C21" s="4"/>
      <c r="D21" s="4"/>
      <c r="E21" s="4"/>
      <c r="F21" s="4"/>
      <c r="G21" s="4"/>
      <c r="H21" s="4"/>
      <c r="I21" s="4"/>
      <c r="J21" s="4"/>
      <c r="K21" s="4"/>
      <c r="L21" s="4"/>
      <c r="M21" s="4"/>
      <c r="N21" s="4"/>
      <c r="O21" s="4"/>
      <c r="P21" s="4"/>
    </row>
    <row r="22" spans="1:16" x14ac:dyDescent="0.3">
      <c r="A22" s="4"/>
      <c r="B22" s="4"/>
      <c r="C22" s="4"/>
      <c r="D22" s="4"/>
      <c r="E22" s="4"/>
      <c r="F22" s="4"/>
      <c r="G22" s="4"/>
      <c r="H22" s="4"/>
      <c r="I22" s="4"/>
      <c r="J22" s="4"/>
      <c r="K22" s="4"/>
      <c r="L22" s="4"/>
      <c r="M22" s="4"/>
      <c r="N22" s="4"/>
      <c r="O22" s="4"/>
      <c r="P22" s="4"/>
    </row>
    <row r="23" spans="1:16" x14ac:dyDescent="0.3">
      <c r="A23" s="4"/>
      <c r="B23" s="4"/>
      <c r="C23" s="4"/>
      <c r="D23" s="4"/>
      <c r="E23" s="4"/>
      <c r="F23" s="4"/>
      <c r="G23" s="4"/>
      <c r="H23" s="4"/>
      <c r="I23" s="4"/>
      <c r="J23" s="4"/>
      <c r="K23" s="4"/>
      <c r="L23" s="4"/>
      <c r="M23" s="4"/>
      <c r="N23" s="4"/>
      <c r="O23" s="4"/>
      <c r="P23" s="4"/>
    </row>
    <row r="24" spans="1:16" x14ac:dyDescent="0.3">
      <c r="A24" s="4"/>
      <c r="B24" s="4"/>
      <c r="C24" s="4"/>
      <c r="D24" s="4"/>
      <c r="E24" s="4"/>
      <c r="F24" s="4"/>
      <c r="G24" s="4"/>
      <c r="H24" s="4"/>
      <c r="I24" s="4"/>
      <c r="J24" s="4"/>
      <c r="K24" s="4"/>
      <c r="L24" s="4"/>
      <c r="M24" s="4"/>
      <c r="N24" s="4"/>
      <c r="O24" s="4"/>
      <c r="P24" s="4"/>
    </row>
    <row r="25" spans="1:16" x14ac:dyDescent="0.3">
      <c r="A25" s="4"/>
      <c r="B25" s="4"/>
      <c r="C25" s="4"/>
      <c r="D25" s="4"/>
      <c r="E25" s="4"/>
      <c r="F25" s="4"/>
      <c r="G25" s="4"/>
      <c r="H25" s="4"/>
      <c r="I25" s="4"/>
      <c r="J25" s="4"/>
      <c r="K25" s="4"/>
      <c r="L25" s="4"/>
      <c r="M25" s="4"/>
      <c r="N25" s="4"/>
      <c r="O25" s="4"/>
      <c r="P25" s="4"/>
    </row>
    <row r="26" spans="1:16" x14ac:dyDescent="0.3">
      <c r="A26" s="4"/>
      <c r="B26" s="4"/>
      <c r="C26" s="4"/>
      <c r="D26" s="4"/>
      <c r="E26" s="4"/>
      <c r="F26" s="4"/>
      <c r="G26" s="4"/>
      <c r="H26" s="4"/>
      <c r="I26" s="4"/>
      <c r="J26" s="4"/>
      <c r="K26" s="4"/>
      <c r="L26" s="4"/>
      <c r="M26" s="4"/>
      <c r="N26" s="4"/>
      <c r="O26" s="4"/>
      <c r="P26" s="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F0536BB7-7FC6-4637-ABA6-E9DB2CE367AA}">
  <ds:schemaRefs/>
</ds:datastoreItem>
</file>

<file path=customXml/itemProps2.xml><?xml version="1.0" encoding="utf-8"?>
<ds:datastoreItem xmlns:ds="http://schemas.openxmlformats.org/officeDocument/2006/customXml" ds:itemID="{78A1C9C5-791B-4E39-861F-A8001EEC20EF}">
  <ds:schemaRefs/>
</ds:datastoreItem>
</file>

<file path=customXml/itemProps3.xml><?xml version="1.0" encoding="utf-8"?>
<ds:datastoreItem xmlns:ds="http://schemas.openxmlformats.org/officeDocument/2006/customXml" ds:itemID="{FBBC75C7-A6AB-4F1C-9BDB-E75AFBF8E187}">
  <ds:schemaRefs>
    <ds:schemaRef ds:uri="http://schemas.microsoft.com/DataMashup"/>
  </ds:schemaRefs>
</ds:datastoreItem>
</file>

<file path=customXml/itemProps4.xml><?xml version="1.0" encoding="utf-8"?>
<ds:datastoreItem xmlns:ds="http://schemas.openxmlformats.org/officeDocument/2006/customXml" ds:itemID="{8AA9AABF-D8F1-42B2-94CC-86B71941C2FA}">
  <ds:schemaRefs/>
</ds:datastoreItem>
</file>

<file path=customXml/itemProps5.xml><?xml version="1.0" encoding="utf-8"?>
<ds:datastoreItem xmlns:ds="http://schemas.openxmlformats.org/officeDocument/2006/customXml" ds:itemID="{A32886E6-CC53-46C0-88A2-8231646424EE}">
  <ds:schemaRefs/>
</ds:datastoreItem>
</file>

<file path=customXml/itemProps6.xml><?xml version="1.0" encoding="utf-8"?>
<ds:datastoreItem xmlns:ds="http://schemas.openxmlformats.org/officeDocument/2006/customXml" ds:itemID="{4BEBBFA4-7357-4C74-ADAA-D7687BA56F34}">
  <ds:schemaRefs/>
</ds:datastoreItem>
</file>

<file path=customXml/itemProps7.xml><?xml version="1.0" encoding="utf-8"?>
<ds:datastoreItem xmlns:ds="http://schemas.openxmlformats.org/officeDocument/2006/customXml" ds:itemID="{E6C31E01-E5C8-4B06-95FB-33E70AF276AF}">
  <ds:schemaRefs/>
</ds:datastoreItem>
</file>

<file path=customXml/itemProps8.xml><?xml version="1.0" encoding="utf-8"?>
<ds:datastoreItem xmlns:ds="http://schemas.openxmlformats.org/officeDocument/2006/customXml" ds:itemID="{73BAFA1B-35FF-4983-9FF7-E9C0F86E9B2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Average Satisfication Score</vt:lpstr>
      <vt:lpstr>Daily ER No of Patients</vt:lpstr>
      <vt:lpstr>Average wait time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Farhan Khan</dc:creator>
  <cp:lastModifiedBy>Md Farhan Khan</cp:lastModifiedBy>
  <dcterms:created xsi:type="dcterms:W3CDTF">2026-01-14T07:59:30Z</dcterms:created>
  <dcterms:modified xsi:type="dcterms:W3CDTF">2026-01-26T07:53:28Z</dcterms:modified>
</cp:coreProperties>
</file>